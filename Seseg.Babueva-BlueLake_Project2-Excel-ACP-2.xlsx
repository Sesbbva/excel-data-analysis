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heets/sheet1.xml" ContentType="application/vnd.openxmlformats-officedocument.spreadsheetml.chartsheet+xml"/>
  <Override PartName="/xl/worksheets/sheet7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drawings/drawing2.xml" ContentType="application/vnd.openxmlformats-officedocument.drawing+xml"/>
  <Override PartName="/xl/charts/chartEx1.xml" ContentType="application/vnd.ms-office.chartex+xml"/>
  <Override PartName="/xl/charts/style2.xml" ContentType="application/vnd.ms-office.chartstyle+xml"/>
  <Override PartName="/xl/charts/colors2.xml" ContentType="application/vnd.ms-office.chartcolorstyle+xml"/>
  <Override PartName="/xl/charts/chart2.xml" ContentType="application/vnd.openxmlformats-officedocument.drawingml.chart+xml"/>
  <Override PartName="/xl/drawings/drawing3.xml" ContentType="application/vnd.openxmlformats-officedocument.drawingml.chartshapes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filterPrivacy="1" defaultThemeVersion="124226"/>
  <xr:revisionPtr revIDLastSave="0" documentId="13_ncr:1_{410E20D4-312A-40BA-835B-2A7B4BE281CA}" xr6:coauthVersionLast="47" xr6:coauthVersionMax="47" xr10:uidLastSave="{00000000-0000-0000-0000-000000000000}"/>
  <bookViews>
    <workbookView xWindow="-110" yWindow="-110" windowWidth="19420" windowHeight="10300" activeTab="1" xr2:uid="{00000000-000D-0000-FFFF-FFFF00000000}"/>
  </bookViews>
  <sheets>
    <sheet name="PivotTable" sheetId="11" r:id="rId1"/>
    <sheet name="Transactions" sheetId="4" r:id="rId2"/>
    <sheet name="TransactionData" sheetId="8" r:id="rId3"/>
    <sheet name="CardFees" sheetId="6" r:id="rId4"/>
    <sheet name="Lookup_Data" sheetId="7" r:id="rId5"/>
    <sheet name="Filtered" sheetId="9" r:id="rId6"/>
    <sheet name="SunburstChart" sheetId="12" r:id="rId7"/>
    <sheet name="SunburstData" sheetId="10" r:id="rId8"/>
  </sheets>
  <definedNames>
    <definedName name="_xlchart.v1.0" hidden="1">SunburstData!$A$6:$B$75</definedName>
    <definedName name="_xlchart.v1.1" hidden="1">SunburstData!$C$5</definedName>
    <definedName name="_xlchart.v1.2" hidden="1">SunburstData!$C$6:$C$75</definedName>
    <definedName name="_xlchart.v1.3" hidden="1">SunburstData!$A$6:$B$75</definedName>
    <definedName name="_xlchart.v1.4" hidden="1">SunburstData!$C$5</definedName>
    <definedName name="_xlchart.v1.5" hidden="1">SunburstData!$C$6:$C$75</definedName>
    <definedName name="Cities">Lookup_Data!$A$2:$A$6</definedName>
    <definedName name="ExternalData_1" localSheetId="5" hidden="1">Filtered!#REF!</definedName>
    <definedName name="ExternalData_1" localSheetId="7" hidden="1">SunburstData!#REF!</definedName>
    <definedName name="ExternalData_1" localSheetId="1" hidden="1">Transactions!#REF!</definedName>
    <definedName name="TaxRates">Lookup_Data!$B$2:$B$6</definedName>
  </definedNames>
  <calcPr calcId="191029"/>
  <pivotCaches>
    <pivotCache cacheId="4" r:id="rId9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6" l="1"/>
  <c r="E24" i="6"/>
  <c r="E25" i="6"/>
  <c r="E22" i="6"/>
  <c r="D15" i="6"/>
  <c r="E15" i="6"/>
  <c r="F15" i="6"/>
  <c r="G15" i="6"/>
  <c r="C15" i="6"/>
  <c r="D7" i="8"/>
  <c r="D8" i="8"/>
  <c r="D9" i="8"/>
  <c r="D10" i="8"/>
  <c r="D11" i="8"/>
  <c r="D12" i="8"/>
  <c r="D13" i="8"/>
  <c r="D14" i="8"/>
  <c r="D15" i="8"/>
  <c r="D16" i="8"/>
  <c r="D17" i="8"/>
  <c r="D18" i="8"/>
  <c r="D19" i="8"/>
  <c r="D20" i="8"/>
  <c r="D21" i="8"/>
  <c r="D22" i="8"/>
  <c r="D23" i="8"/>
  <c r="D24" i="8"/>
  <c r="D25" i="8"/>
  <c r="D26" i="8"/>
  <c r="D27" i="8"/>
  <c r="D28" i="8"/>
  <c r="D29" i="8"/>
  <c r="D30" i="8"/>
  <c r="D6" i="8"/>
  <c r="C7" i="8"/>
  <c r="C8" i="8"/>
  <c r="C9" i="8"/>
  <c r="C10" i="8"/>
  <c r="C11" i="8"/>
  <c r="C12" i="8"/>
  <c r="C13" i="8"/>
  <c r="C14" i="8"/>
  <c r="C15" i="8"/>
  <c r="C16" i="8"/>
  <c r="C17" i="8"/>
  <c r="C18" i="8"/>
  <c r="C19" i="8"/>
  <c r="C20" i="8"/>
  <c r="C21" i="8"/>
  <c r="C22" i="8"/>
  <c r="C23" i="8"/>
  <c r="C24" i="8"/>
  <c r="C25" i="8"/>
  <c r="C26" i="8"/>
  <c r="C27" i="8"/>
  <c r="C28" i="8"/>
  <c r="C29" i="8"/>
  <c r="C30" i="8"/>
  <c r="C6" i="8"/>
  <c r="C76" i="9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72FD53A-12DB-41EC-82F0-6794916D0D91}" keepAlive="1" name="Query - BlueLake_Project2" description="Connection to the 'BlueLake_Project2' query in the workbook." type="5" refreshedVersion="8" background="1" saveData="1">
    <dbPr connection="Provider=Microsoft.Mashup.OleDb.1;Data Source=$Workbook$;Location=BlueLake_Project2;Extended Properties=&quot;&quot;" command="SELECT * FROM [BlueLake_Project2]"/>
  </connection>
</connections>
</file>

<file path=xl/sharedStrings.xml><?xml version="1.0" encoding="utf-8"?>
<sst xmlns="http://schemas.openxmlformats.org/spreadsheetml/2006/main" count="519" uniqueCount="44">
  <si>
    <t xml:space="preserve">Golf </t>
  </si>
  <si>
    <t xml:space="preserve">Apparel </t>
  </si>
  <si>
    <t xml:space="preserve">Footwear </t>
  </si>
  <si>
    <t xml:space="preserve">Running </t>
  </si>
  <si>
    <t xml:space="preserve">Basketball </t>
  </si>
  <si>
    <t xml:space="preserve">Hockey </t>
  </si>
  <si>
    <t xml:space="preserve">Hunting </t>
  </si>
  <si>
    <t xml:space="preserve">Game Room </t>
  </si>
  <si>
    <t xml:space="preserve">Bike &amp; Skate </t>
  </si>
  <si>
    <t>Lacrosse</t>
  </si>
  <si>
    <t>Chicago</t>
  </si>
  <si>
    <t>St. Louis</t>
  </si>
  <si>
    <t>Atlanta</t>
  </si>
  <si>
    <t>Department</t>
  </si>
  <si>
    <t>City</t>
  </si>
  <si>
    <t>Transactions</t>
  </si>
  <si>
    <t>Week of September 1</t>
  </si>
  <si>
    <t>Boston</t>
  </si>
  <si>
    <t>Tax Rate</t>
  </si>
  <si>
    <t>Location</t>
  </si>
  <si>
    <t>White Card</t>
  </si>
  <si>
    <t>Blue Card</t>
  </si>
  <si>
    <t>Platinum Card</t>
  </si>
  <si>
    <t>Gold Card</t>
  </si>
  <si>
    <t>Fee per Transaction</t>
  </si>
  <si>
    <t>Fees by Location</t>
  </si>
  <si>
    <t>Fees by Card Type</t>
  </si>
  <si>
    <t>Sales Ticket
Before Tax</t>
  </si>
  <si>
    <t>Number of Transactions by Department</t>
  </si>
  <si>
    <t>Fitness</t>
  </si>
  <si>
    <t>Hiking</t>
  </si>
  <si>
    <t>Snow Ski</t>
  </si>
  <si>
    <t>San Diego</t>
  </si>
  <si>
    <t>Blue Lake Sporting Goods</t>
  </si>
  <si>
    <t>Sales Ticket
with Municipal Tax</t>
  </si>
  <si>
    <t>Municipal Tax Analysis</t>
  </si>
  <si>
    <t>Blue Lake Sporting Goods Credit Card Fees</t>
  </si>
  <si>
    <t>Total Value of Transactions</t>
  </si>
  <si>
    <t xml:space="preserve">Baseball </t>
  </si>
  <si>
    <t>Total</t>
  </si>
  <si>
    <t>Row Labels</t>
  </si>
  <si>
    <t>Grand Total</t>
  </si>
  <si>
    <t>Sum of Transactions</t>
  </si>
  <si>
    <t>(All)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</si>
</sst>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7" formatCode="&quot;$&quot;#,##0.00_);\(&quot;$&quot;#,##0.0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&quot;$&quot;#,##0.00"/>
    <numFmt numFmtId="168" formatCode="0.0000%"/>
    <numFmt numFmtId="172" formatCode="_(&quot;$&quot;* #,##0_);_(&quot;$&quot;* \(#,##0\);_(&quot;$&quot;* &quot;-&quot;??_);_(@_)"/>
  </numFmts>
  <fonts count="14" x14ac:knownFonts="1">
    <font>
      <sz val="11"/>
      <color theme="1"/>
      <name val="Calibri"/>
      <family val="2"/>
      <scheme val="minor"/>
    </font>
    <font>
      <sz val="11"/>
      <name val="Calibri"/>
      <family val="2"/>
    </font>
    <font>
      <b/>
      <i/>
      <sz val="16"/>
      <color theme="1"/>
      <name val="Calibri"/>
      <family val="2"/>
    </font>
    <font>
      <i/>
      <sz val="11"/>
      <color theme="1"/>
      <name val="Calibri"/>
      <family val="2"/>
    </font>
    <font>
      <sz val="10"/>
      <name val="Arial"/>
      <family val="2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indexed="8"/>
      <name val="Calibri"/>
      <family val="2"/>
      <scheme val="minor"/>
    </font>
    <font>
      <sz val="18"/>
      <color theme="1"/>
      <name val="Calibri"/>
      <family val="2"/>
      <scheme val="minor"/>
    </font>
    <font>
      <sz val="11"/>
      <color indexed="8"/>
      <name val="Calibri"/>
      <family val="2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8">
    <border>
      <left/>
      <right/>
      <top/>
      <bottom/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/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/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/>
      <right style="medium">
        <color theme="1"/>
      </right>
      <top/>
      <bottom style="medium">
        <color theme="1"/>
      </bottom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/>
      <right style="double">
        <color auto="1"/>
      </right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/>
      <right/>
      <top/>
      <bottom style="double">
        <color auto="1"/>
      </bottom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/>
      <right/>
      <top style="hair">
        <color auto="1"/>
      </top>
      <bottom style="double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tted">
        <color auto="1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auto="1"/>
      </left>
      <right style="thin">
        <color auto="1"/>
      </right>
      <top style="dotted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hair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/>
      <diagonal/>
    </border>
  </borders>
  <cellStyleXfs count="13">
    <xf numFmtId="0" fontId="0" fillId="0" borderId="0"/>
    <xf numFmtId="0" fontId="1" fillId="0" borderId="0"/>
    <xf numFmtId="43" fontId="4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5" fillId="0" borderId="0"/>
    <xf numFmtId="43" fontId="12" fillId="0" borderId="0" applyFont="0" applyFill="0" applyBorder="0" applyAlignment="0" applyProtection="0"/>
    <xf numFmtId="43" fontId="4" fillId="0" borderId="0" applyFont="0" applyFill="0" applyBorder="0" applyAlignment="0" applyProtection="0"/>
    <xf numFmtId="43" fontId="12" fillId="0" borderId="0" applyFont="0" applyFill="0" applyBorder="0" applyAlignment="0" applyProtection="0"/>
    <xf numFmtId="44" fontId="4" fillId="0" borderId="0" applyFont="0" applyFill="0" applyBorder="0" applyAlignment="0" applyProtection="0"/>
    <xf numFmtId="0" fontId="8" fillId="0" borderId="0"/>
    <xf numFmtId="0" fontId="1" fillId="0" borderId="0"/>
    <xf numFmtId="0" fontId="5" fillId="0" borderId="0"/>
    <xf numFmtId="9" fontId="8" fillId="0" borderId="0" applyFont="0" applyFill="0" applyBorder="0" applyAlignment="0" applyProtection="0"/>
  </cellStyleXfs>
  <cellXfs count="102">
    <xf numFmtId="0" fontId="0" fillId="0" borderId="0" xfId="0"/>
    <xf numFmtId="0" fontId="8" fillId="0" borderId="0" xfId="9"/>
    <xf numFmtId="0" fontId="1" fillId="0" borderId="1" xfId="10" applyBorder="1"/>
    <xf numFmtId="0" fontId="1" fillId="0" borderId="2" xfId="10" applyBorder="1"/>
    <xf numFmtId="0" fontId="1" fillId="0" borderId="3" xfId="10" applyBorder="1"/>
    <xf numFmtId="0" fontId="1" fillId="0" borderId="0" xfId="10"/>
    <xf numFmtId="0" fontId="1" fillId="0" borderId="4" xfId="10" applyBorder="1"/>
    <xf numFmtId="0" fontId="2" fillId="0" borderId="0" xfId="10" applyFont="1" applyAlignment="1">
      <alignment horizontal="centerContinuous"/>
    </xf>
    <xf numFmtId="164" fontId="5" fillId="0" borderId="0" xfId="6" applyNumberFormat="1" applyFont="1" applyAlignment="1">
      <alignment horizontal="centerContinuous"/>
    </xf>
    <xf numFmtId="164" fontId="1" fillId="0" borderId="5" xfId="6" applyNumberFormat="1" applyFont="1" applyBorder="1"/>
    <xf numFmtId="0" fontId="5" fillId="0" borderId="0" xfId="10" applyFont="1"/>
    <xf numFmtId="164" fontId="7" fillId="0" borderId="5" xfId="6" applyNumberFormat="1" applyFont="1" applyBorder="1"/>
    <xf numFmtId="0" fontId="1" fillId="0" borderId="6" xfId="10" applyBorder="1"/>
    <xf numFmtId="7" fontId="1" fillId="0" borderId="0" xfId="10" applyNumberFormat="1"/>
    <xf numFmtId="0" fontId="1" fillId="0" borderId="9" xfId="10" applyBorder="1"/>
    <xf numFmtId="0" fontId="1" fillId="0" borderId="11" xfId="10" applyBorder="1"/>
    <xf numFmtId="0" fontId="1" fillId="0" borderId="12" xfId="10" applyBorder="1"/>
    <xf numFmtId="164" fontId="1" fillId="0" borderId="12" xfId="6" applyNumberFormat="1" applyFont="1" applyBorder="1"/>
    <xf numFmtId="164" fontId="1" fillId="0" borderId="13" xfId="6" applyNumberFormat="1" applyFont="1" applyBorder="1"/>
    <xf numFmtId="164" fontId="1" fillId="0" borderId="0" xfId="6" applyNumberFormat="1" applyFont="1"/>
    <xf numFmtId="164" fontId="1" fillId="0" borderId="15" xfId="6" applyNumberFormat="1" applyFont="1" applyBorder="1"/>
    <xf numFmtId="164" fontId="1" fillId="0" borderId="16" xfId="6" applyNumberFormat="1" applyFont="1" applyBorder="1"/>
    <xf numFmtId="0" fontId="6" fillId="0" borderId="0" xfId="10" applyFont="1" applyAlignment="1">
      <alignment horizontal="centerContinuous"/>
    </xf>
    <xf numFmtId="164" fontId="1" fillId="0" borderId="0" xfId="10" applyNumberFormat="1" applyAlignment="1">
      <alignment horizontal="centerContinuous"/>
    </xf>
    <xf numFmtId="164" fontId="1" fillId="0" borderId="18" xfId="6" applyNumberFormat="1" applyFont="1" applyBorder="1"/>
    <xf numFmtId="164" fontId="1" fillId="0" borderId="19" xfId="10" applyNumberFormat="1" applyBorder="1"/>
    <xf numFmtId="164" fontId="1" fillId="0" borderId="21" xfId="10" applyNumberFormat="1" applyBorder="1"/>
    <xf numFmtId="0" fontId="1" fillId="0" borderId="22" xfId="10" applyBorder="1"/>
    <xf numFmtId="0" fontId="7" fillId="0" borderId="19" xfId="10" applyFont="1" applyBorder="1" applyAlignment="1">
      <alignment horizontal="right"/>
    </xf>
    <xf numFmtId="0" fontId="5" fillId="0" borderId="0" xfId="11"/>
    <xf numFmtId="10" fontId="8" fillId="0" borderId="28" xfId="11" applyNumberFormat="1" applyFont="1" applyBorder="1"/>
    <xf numFmtId="0" fontId="8" fillId="0" borderId="0" xfId="11" applyFont="1"/>
    <xf numFmtId="0" fontId="9" fillId="0" borderId="23" xfId="11" applyFont="1" applyBorder="1" applyAlignment="1">
      <alignment horizontal="center"/>
    </xf>
    <xf numFmtId="0" fontId="9" fillId="0" borderId="23" xfId="11" applyFont="1" applyBorder="1" applyAlignment="1">
      <alignment horizontal="center" wrapText="1"/>
    </xf>
    <xf numFmtId="14" fontId="8" fillId="0" borderId="23" xfId="11" applyNumberFormat="1" applyFont="1" applyBorder="1"/>
    <xf numFmtId="165" fontId="8" fillId="0" borderId="23" xfId="7" applyNumberFormat="1" applyFont="1" applyBorder="1"/>
    <xf numFmtId="165" fontId="8" fillId="0" borderId="23" xfId="11" applyNumberFormat="1" applyFont="1" applyBorder="1"/>
    <xf numFmtId="0" fontId="0" fillId="0" borderId="28" xfId="11" applyFont="1" applyBorder="1" applyAlignment="1">
      <alignment horizontal="left"/>
    </xf>
    <xf numFmtId="0" fontId="0" fillId="0" borderId="29" xfId="11" applyFont="1" applyBorder="1" applyAlignment="1">
      <alignment horizontal="left"/>
    </xf>
    <xf numFmtId="10" fontId="8" fillId="0" borderId="29" xfId="11" applyNumberFormat="1" applyFont="1" applyBorder="1"/>
    <xf numFmtId="0" fontId="10" fillId="0" borderId="27" xfId="11" applyFont="1" applyBorder="1" applyAlignment="1">
      <alignment horizontal="center"/>
    </xf>
    <xf numFmtId="164" fontId="6" fillId="0" borderId="23" xfId="6" applyNumberFormat="1" applyFont="1" applyBorder="1" applyAlignment="1">
      <alignment horizontal="center"/>
    </xf>
    <xf numFmtId="0" fontId="0" fillId="0" borderId="23" xfId="11" applyFont="1" applyBorder="1"/>
    <xf numFmtId="0" fontId="2" fillId="0" borderId="30" xfId="10" applyFont="1" applyBorder="1" applyAlignment="1">
      <alignment horizontal="centerContinuous"/>
    </xf>
    <xf numFmtId="164" fontId="5" fillId="0" borderId="30" xfId="6" applyNumberFormat="1" applyFont="1" applyBorder="1" applyAlignment="1">
      <alignment horizontal="centerContinuous"/>
    </xf>
    <xf numFmtId="0" fontId="11" fillId="0" borderId="0" xfId="11" applyFont="1" applyAlignment="1">
      <alignment horizontal="center"/>
    </xf>
    <xf numFmtId="0" fontId="13" fillId="0" borderId="32" xfId="11" applyFont="1" applyBorder="1" applyAlignment="1">
      <alignment horizontal="centerContinuous"/>
    </xf>
    <xf numFmtId="0" fontId="11" fillId="0" borderId="33" xfId="11" applyFont="1" applyBorder="1" applyAlignment="1">
      <alignment horizontal="centerContinuous"/>
    </xf>
    <xf numFmtId="0" fontId="11" fillId="0" borderId="34" xfId="11" applyFont="1" applyBorder="1" applyAlignment="1">
      <alignment horizontal="centerContinuous"/>
    </xf>
    <xf numFmtId="0" fontId="13" fillId="0" borderId="35" xfId="11" applyFont="1" applyBorder="1" applyAlignment="1">
      <alignment horizontal="centerContinuous"/>
    </xf>
    <xf numFmtId="0" fontId="11" fillId="0" borderId="30" xfId="11" applyFont="1" applyBorder="1" applyAlignment="1">
      <alignment horizontal="centerContinuous"/>
    </xf>
    <xf numFmtId="0" fontId="11" fillId="0" borderId="36" xfId="11" applyFont="1" applyBorder="1" applyAlignment="1">
      <alignment horizontal="centerContinuous"/>
    </xf>
    <xf numFmtId="0" fontId="7" fillId="0" borderId="23" xfId="10" applyFont="1" applyBorder="1" applyAlignment="1">
      <alignment horizontal="center"/>
    </xf>
    <xf numFmtId="0" fontId="6" fillId="0" borderId="23" xfId="10" applyFont="1" applyBorder="1" applyAlignment="1">
      <alignment horizontal="centerContinuous"/>
    </xf>
    <xf numFmtId="164" fontId="1" fillId="0" borderId="26" xfId="6" applyNumberFormat="1" applyFont="1" applyBorder="1"/>
    <xf numFmtId="0" fontId="8" fillId="0" borderId="25" xfId="9" applyBorder="1"/>
    <xf numFmtId="164" fontId="1" fillId="0" borderId="0" xfId="6" applyNumberFormat="1" applyFont="1" applyBorder="1"/>
    <xf numFmtId="164" fontId="1" fillId="0" borderId="0" xfId="10" applyNumberFormat="1"/>
    <xf numFmtId="164" fontId="7" fillId="0" borderId="24" xfId="10" applyNumberFormat="1" applyFont="1" applyBorder="1" applyAlignment="1">
      <alignment horizontal="centerContinuous"/>
    </xf>
    <xf numFmtId="164" fontId="7" fillId="0" borderId="26" xfId="6" applyNumberFormat="1" applyFont="1" applyBorder="1"/>
    <xf numFmtId="0" fontId="1" fillId="0" borderId="23" xfId="10" applyBorder="1"/>
    <xf numFmtId="0" fontId="0" fillId="0" borderId="37" xfId="11" applyFont="1" applyBorder="1" applyAlignment="1">
      <alignment horizontal="left"/>
    </xf>
    <xf numFmtId="10" fontId="8" fillId="0" borderId="37" xfId="11" applyNumberFormat="1" applyFont="1" applyBorder="1"/>
    <xf numFmtId="164" fontId="6" fillId="0" borderId="24" xfId="6" applyNumberFormat="1" applyFont="1" applyBorder="1" applyAlignment="1">
      <alignment horizontal="center"/>
    </xf>
    <xf numFmtId="164" fontId="6" fillId="0" borderId="25" xfId="6" applyNumberFormat="1" applyFont="1" applyBorder="1" applyAlignment="1">
      <alignment horizontal="center"/>
    </xf>
    <xf numFmtId="164" fontId="6" fillId="0" borderId="26" xfId="6" applyNumberFormat="1" applyFont="1" applyBorder="1" applyAlignment="1">
      <alignment horizontal="center"/>
    </xf>
    <xf numFmtId="0" fontId="6" fillId="0" borderId="24" xfId="10" applyFont="1" applyBorder="1" applyAlignment="1">
      <alignment horizontal="center"/>
    </xf>
    <xf numFmtId="0" fontId="6" fillId="0" borderId="25" xfId="10" applyFont="1" applyBorder="1" applyAlignment="1">
      <alignment horizontal="center"/>
    </xf>
    <xf numFmtId="0" fontId="6" fillId="0" borderId="26" xfId="10" applyFont="1" applyBorder="1" applyAlignment="1">
      <alignment horizontal="center"/>
    </xf>
    <xf numFmtId="0" fontId="0" fillId="0" borderId="0" xfId="0" applyNumberFormat="1"/>
    <xf numFmtId="0" fontId="13" fillId="0" borderId="0" xfId="9" applyFont="1" applyAlignment="1">
      <alignment horizontal="centerContinuous"/>
    </xf>
    <xf numFmtId="0" fontId="8" fillId="0" borderId="0" xfId="9" applyAlignment="1">
      <alignment horizontal="centerContinuous"/>
    </xf>
    <xf numFmtId="0" fontId="8" fillId="0" borderId="0" xfId="0" applyNumberFormat="1" applyFont="1" applyFill="1" applyBorder="1" applyAlignment="1" applyProtection="1"/>
    <xf numFmtId="0" fontId="0" fillId="0" borderId="0" xfId="0" pivotButton="1"/>
    <xf numFmtId="0" fontId="0" fillId="0" borderId="0" xfId="0" applyAlignment="1">
      <alignment horizontal="left"/>
    </xf>
    <xf numFmtId="10" fontId="11" fillId="0" borderId="33" xfId="11" applyNumberFormat="1" applyFont="1" applyBorder="1" applyAlignment="1">
      <alignment horizontal="centerContinuous"/>
    </xf>
    <xf numFmtId="10" fontId="11" fillId="0" borderId="30" xfId="11" applyNumberFormat="1" applyFont="1" applyBorder="1" applyAlignment="1">
      <alignment horizontal="centerContinuous"/>
    </xf>
    <xf numFmtId="10" fontId="8" fillId="0" borderId="0" xfId="11" applyNumberFormat="1" applyFont="1"/>
    <xf numFmtId="10" fontId="9" fillId="0" borderId="23" xfId="11" applyNumberFormat="1" applyFont="1" applyBorder="1" applyAlignment="1">
      <alignment horizontal="center" wrapText="1"/>
    </xf>
    <xf numFmtId="10" fontId="8" fillId="0" borderId="23" xfId="7" applyNumberFormat="1" applyFont="1" applyBorder="1"/>
    <xf numFmtId="10" fontId="5" fillId="0" borderId="0" xfId="11" applyNumberFormat="1"/>
    <xf numFmtId="0" fontId="8" fillId="0" borderId="24" xfId="11" applyFont="1" applyBorder="1"/>
    <xf numFmtId="0" fontId="8" fillId="0" borderId="26" xfId="11" applyFont="1" applyBorder="1"/>
    <xf numFmtId="168" fontId="1" fillId="0" borderId="2" xfId="12" applyNumberFormat="1" applyFont="1" applyBorder="1"/>
    <xf numFmtId="168" fontId="3" fillId="0" borderId="0" xfId="12" applyNumberFormat="1" applyFont="1" applyAlignment="1">
      <alignment horizontal="centerContinuous"/>
    </xf>
    <xf numFmtId="168" fontId="3" fillId="0" borderId="30" xfId="12" applyNumberFormat="1" applyFont="1" applyBorder="1" applyAlignment="1">
      <alignment horizontal="centerContinuous"/>
    </xf>
    <xf numFmtId="168" fontId="6" fillId="0" borderId="23" xfId="12" applyNumberFormat="1" applyFont="1" applyBorder="1" applyAlignment="1">
      <alignment horizontal="center" wrapText="1"/>
    </xf>
    <xf numFmtId="168" fontId="1" fillId="0" borderId="7" xfId="12" applyNumberFormat="1" applyFont="1" applyBorder="1"/>
    <xf numFmtId="168" fontId="1" fillId="0" borderId="10" xfId="12" applyNumberFormat="1" applyFont="1" applyBorder="1"/>
    <xf numFmtId="168" fontId="1" fillId="0" borderId="12" xfId="12" applyNumberFormat="1" applyFont="1" applyBorder="1"/>
    <xf numFmtId="168" fontId="1" fillId="0" borderId="0" xfId="12" applyNumberFormat="1" applyFont="1"/>
    <xf numFmtId="168" fontId="7" fillId="0" borderId="23" xfId="12" applyNumberFormat="1" applyFont="1" applyBorder="1" applyAlignment="1">
      <alignment horizontal="center"/>
    </xf>
    <xf numFmtId="168" fontId="1" fillId="0" borderId="24" xfId="12" applyNumberFormat="1" applyFont="1" applyBorder="1"/>
    <xf numFmtId="168" fontId="8" fillId="0" borderId="0" xfId="12" applyNumberFormat="1"/>
    <xf numFmtId="168" fontId="1" fillId="0" borderId="14" xfId="12" applyNumberFormat="1" applyFont="1" applyBorder="1"/>
    <xf numFmtId="168" fontId="1" fillId="0" borderId="17" xfId="12" applyNumberFormat="1" applyFont="1" applyBorder="1"/>
    <xf numFmtId="168" fontId="1" fillId="0" borderId="20" xfId="12" applyNumberFormat="1" applyFont="1" applyBorder="1"/>
    <xf numFmtId="172" fontId="8" fillId="0" borderId="23" xfId="12" applyNumberFormat="1" applyBorder="1"/>
    <xf numFmtId="172" fontId="1" fillId="0" borderId="8" xfId="10" applyNumberFormat="1" applyBorder="1"/>
    <xf numFmtId="172" fontId="1" fillId="0" borderId="7" xfId="6" applyNumberFormat="1" applyFont="1" applyBorder="1"/>
    <xf numFmtId="172" fontId="1" fillId="0" borderId="31" xfId="6" applyNumberFormat="1" applyFont="1" applyBorder="1"/>
    <xf numFmtId="172" fontId="1" fillId="0" borderId="10" xfId="6" applyNumberFormat="1" applyFont="1" applyBorder="1"/>
  </cellXfs>
  <cellStyles count="13">
    <cellStyle name="Comma 2" xfId="2" xr:uid="{00000000-0005-0000-0000-000000000000}"/>
    <cellStyle name="Comma 2#rM7JGuZ9E1LU3SM+DHxJI+6D9NoplENGosWB5HVn4sM=" xfId="6" xr:uid="{00000000-0005-0000-0000-000006000000}"/>
    <cellStyle name="Comma 3" xfId="5" xr:uid="{00000000-0005-0000-0000-000001000000}"/>
    <cellStyle name="Comma 3#o4MFNijjD4dmZh+UVOQlip+7YVnXQR+03/i0+y4Rr1A=" xfId="7" xr:uid="{00000000-0005-0000-0000-000007000000}"/>
    <cellStyle name="Currency 2" xfId="3" xr:uid="{00000000-0005-0000-0000-000002000000}"/>
    <cellStyle name="Currency 2#TnBmtWgHPaJgrj2Dtq75hPlSjm9bD4vI+OE+0s+zFcs=" xfId="8" xr:uid="{00000000-0005-0000-0000-000008000000}"/>
    <cellStyle name="Normal" xfId="0" builtinId="0"/>
    <cellStyle name="Normal 2" xfId="1" xr:uid="{00000000-0005-0000-0000-000004000000}"/>
    <cellStyle name="Normal 2#A09wMfuOz08u/B22EYCvQEUgkCwEiRjP2Qo44HJUPJk=" xfId="10" xr:uid="{00000000-0005-0000-0000-00000A000000}"/>
    <cellStyle name="Normal 3" xfId="4" xr:uid="{00000000-0005-0000-0000-000005000000}"/>
    <cellStyle name="Normal 3#Lf8qPvvddn9cVtcxQyZJ+ZgpbW6DToVGXAaVKRzm/sw=" xfId="11" xr:uid="{00000000-0005-0000-0000-00000B000000}"/>
    <cellStyle name="Normal#pfnQYTawpRfZifl6ii+hiqqYtck367ajAch4VjJdRVY=" xfId="9" xr:uid="{00000000-0005-0000-0000-000009000000}"/>
    <cellStyle name="Percent" xfId="1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7.xml"/><Relationship Id="rId13" Type="http://schemas.openxmlformats.org/officeDocument/2006/relationships/sharedStrings" Target="sharedStrings.xml"/><Relationship Id="rId18" Type="http://schemas.openxmlformats.org/officeDocument/2006/relationships/customXml" Target="../customXml/item4.xml"/><Relationship Id="rId3" Type="http://schemas.openxmlformats.org/officeDocument/2006/relationships/worksheet" Target="worksheets/sheet3.xml"/><Relationship Id="rId7" Type="http://schemas.openxmlformats.org/officeDocument/2006/relationships/chartsheet" Target="chartsheets/sheet1.xml"/><Relationship Id="rId12" Type="http://schemas.openxmlformats.org/officeDocument/2006/relationships/styles" Target="style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3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[Seseg.Babueva-BlueLake_Project2-Excel-ACP-2.xlsx]PivotTable!PivotTable1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#</a:t>
            </a:r>
            <a:r>
              <a:rPr lang="en-US" baseline="0"/>
              <a:t> of Transactions by Department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PivotTable!$B$3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dPt>
            <c:idx val="0"/>
            <c:invertIfNegative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</c:spPr>
          </c:dPt>
          <c:dPt>
            <c:idx val="1"/>
            <c:invertIfNegative val="0"/>
            <c:bubble3D val="0"/>
            <c:spPr>
              <a:solidFill>
                <a:schemeClr val="accent2"/>
              </a:solidFill>
              <a:ln>
                <a:noFill/>
              </a:ln>
              <a:effectLst/>
            </c:spPr>
          </c:dPt>
          <c:dPt>
            <c:idx val="2"/>
            <c:invertIfNegative val="0"/>
            <c:bubble3D val="0"/>
            <c:spPr>
              <a:solidFill>
                <a:schemeClr val="accent3"/>
              </a:solidFill>
              <a:ln>
                <a:noFill/>
              </a:ln>
              <a:effectLst/>
            </c:spPr>
          </c:dPt>
          <c:dPt>
            <c:idx val="3"/>
            <c:invertIfNegative val="0"/>
            <c:bubble3D val="0"/>
            <c:spPr>
              <a:solidFill>
                <a:schemeClr val="accent4"/>
              </a:solidFill>
              <a:ln>
                <a:noFill/>
              </a:ln>
              <a:effectLst/>
            </c:spPr>
          </c:dPt>
          <c:dPt>
            <c:idx val="4"/>
            <c:invertIfNegative val="0"/>
            <c:bubble3D val="0"/>
            <c:spPr>
              <a:solidFill>
                <a:schemeClr val="accent5"/>
              </a:solidFill>
              <a:ln>
                <a:noFill/>
              </a:ln>
              <a:effectLst/>
            </c:spPr>
          </c:dPt>
          <c:dPt>
            <c:idx val="5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</c:dPt>
          <c:dPt>
            <c:idx val="6"/>
            <c:invertIfNegative val="0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7"/>
            <c:invertIfNegative val="0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8"/>
            <c:invertIfNegative val="0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9"/>
            <c:invertIfNegative val="0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0"/>
            <c:invertIfNegative val="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1"/>
            <c:invertIfNegative val="0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/>
            </c:spPr>
          </c:dPt>
          <c:dPt>
            <c:idx val="12"/>
            <c:invertIfNegative val="0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dPt>
            <c:idx val="13"/>
            <c:invertIfNegative val="0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/>
            </c:spPr>
          </c:dPt>
          <c:cat>
            <c:strRef>
              <c:f>PivotTable!$A$4:$A$18</c:f>
              <c:strCache>
                <c:ptCount val="14"/>
                <c:pt idx="0">
                  <c:v>Apparel </c:v>
                </c:pt>
                <c:pt idx="1">
                  <c:v>Baseball </c:v>
                </c:pt>
                <c:pt idx="2">
                  <c:v>Basketball </c:v>
                </c:pt>
                <c:pt idx="3">
                  <c:v>Bike &amp; Skate </c:v>
                </c:pt>
                <c:pt idx="4">
                  <c:v>Fitness</c:v>
                </c:pt>
                <c:pt idx="5">
                  <c:v>Footwear </c:v>
                </c:pt>
                <c:pt idx="6">
                  <c:v>Game Room </c:v>
                </c:pt>
                <c:pt idx="7">
                  <c:v>Golf </c:v>
                </c:pt>
                <c:pt idx="8">
                  <c:v>Hiking</c:v>
                </c:pt>
                <c:pt idx="9">
                  <c:v>Hockey </c:v>
                </c:pt>
                <c:pt idx="10">
                  <c:v>Hunting </c:v>
                </c:pt>
                <c:pt idx="11">
                  <c:v>Lacrosse</c:v>
                </c:pt>
                <c:pt idx="12">
                  <c:v>Running </c:v>
                </c:pt>
                <c:pt idx="13">
                  <c:v>Snow Ski</c:v>
                </c:pt>
              </c:strCache>
            </c:strRef>
          </c:cat>
          <c:val>
            <c:numRef>
              <c:f>PivotTable!$B$4:$B$18</c:f>
              <c:numCache>
                <c:formatCode>General</c:formatCode>
                <c:ptCount val="14"/>
                <c:pt idx="0">
                  <c:v>303</c:v>
                </c:pt>
                <c:pt idx="1">
                  <c:v>342</c:v>
                </c:pt>
                <c:pt idx="2">
                  <c:v>354</c:v>
                </c:pt>
                <c:pt idx="3">
                  <c:v>363</c:v>
                </c:pt>
                <c:pt idx="4">
                  <c:v>310</c:v>
                </c:pt>
                <c:pt idx="5">
                  <c:v>324</c:v>
                </c:pt>
                <c:pt idx="6">
                  <c:v>405</c:v>
                </c:pt>
                <c:pt idx="7">
                  <c:v>380</c:v>
                </c:pt>
                <c:pt idx="8">
                  <c:v>291</c:v>
                </c:pt>
                <c:pt idx="9">
                  <c:v>385</c:v>
                </c:pt>
                <c:pt idx="10">
                  <c:v>261</c:v>
                </c:pt>
                <c:pt idx="11">
                  <c:v>371</c:v>
                </c:pt>
                <c:pt idx="12">
                  <c:v>406</c:v>
                </c:pt>
                <c:pt idx="13">
                  <c:v>263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12-48FB-80C3-BEA13800341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90107760"/>
        <c:axId val="1090104400"/>
      </c:barChart>
      <c:catAx>
        <c:axId val="10901077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04400"/>
        <c:crosses val="autoZero"/>
        <c:auto val="1"/>
        <c:lblAlgn val="ctr"/>
        <c:lblOffset val="100"/>
        <c:noMultiLvlLbl val="0"/>
      </c:catAx>
      <c:valAx>
        <c:axId val="10901044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90107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3175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0"/>
    <c:plotArea>
      <c:layout/>
      <c:barChart>
        <c:barDir val="col"/>
        <c:grouping val="clustered"/>
        <c:varyColors val="0"/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"/>
        <c:axId val="2"/>
      </c:barChart>
      <c:catAx>
        <c:axId val="1"/>
        <c:scaling>
          <c:orientation val="minMax"/>
        </c:scaling>
        <c:delete val="0"/>
        <c:axPos val="b"/>
        <c:majorTickMark val="out"/>
        <c:minorTickMark val="none"/>
        <c:tickLblPos val="nextTo"/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crossAx val="1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userShapes r:id="rId1"/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size">
        <cx:f>_xlchart.v1.2</cx:f>
      </cx:numDim>
    </cx:data>
  </cx:chartData>
  <cx:chart>
    <cx:title pos="t" align="ctr" overlay="0">
      <cx:tx>
        <cx:txData>
          <cx:v># of Transactions by City and Department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ysClr val="windowText" lastClr="000000">
                  <a:lumMod val="65000"/>
                  <a:lumOff val="35000"/>
                </a:sysClr>
              </a:solidFill>
              <a:latin typeface="Calibri"/>
            </a:rPr>
            <a:t># of Transactions by City and Department</a:t>
          </a:r>
        </a:p>
      </cx:txPr>
    </cx:title>
    <cx:plotArea>
      <cx:plotAreaRegion>
        <cx:series layoutId="sunburst" uniqueId="{432B5670-F823-4A67-AFE0-409309B40E1A}">
          <cx:tx>
            <cx:txData>
              <cx:f>_xlchart.v1.1</cx:f>
              <cx:v>Transactions</cx:v>
            </cx:txData>
          </cx:tx>
          <cx:dataLabels pos="ctr">
            <cx:visibility seriesName="0" categoryName="1" value="0"/>
          </cx:dataLabels>
          <cx:dataId val="0"/>
        </cx:series>
      </cx:plotAreaRegion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8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lt1"/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189126A3-1379-40CA-A434-F1A7C787634E}">
  <sheetPr/>
  <sheetViews>
    <sheetView zoomScale="60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microsoft.com/office/2014/relationships/chartEx" Target="../charts/chartEx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15874</xdr:rowOff>
    </xdr:from>
    <xdr:to>
      <xdr:col>13</xdr:col>
      <xdr:colOff>6350</xdr:colOff>
      <xdr:row>18</xdr:row>
      <xdr:rowOff>171449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C8B947E-BAA7-045C-52E9-AFBA43756E7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57167" cy="6286500"/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A66D5461-EA48-A965-04C3-7E9BE41133E9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graphicFrame macro="">
          <xdr:nvGraphicFramePr>
            <xdr:cNvPr id="0" name=""/>
            <xdr:cNvGraphicFramePr/>
          </xdr:nvGraphicFramePr>
          <xdr:xfrm>
            <a:off x="0" y="0"/>
            <a:ext cx="0" cy="0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2"/>
            </a:graphicData>
          </a:graphic>
        </xdr:graphicFrame>
      </mc:Fallback>
    </mc:AlternateContent>
    <xdr:clientData/>
  </xdr:absoluteAnchor>
</xdr:wsDr>
</file>

<file path=xl/drawings/drawing3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1</cdr:y>
    </cdr:to>
    <cdr:sp macro="" textlink="">
      <cdr:nvSpPr>
        <cdr:cNvPr id="2" name="Rectangle 1">
          <a:extLst xmlns:a="http://schemas.openxmlformats.org/drawingml/2006/main">
            <a:ext uri="{FF2B5EF4-FFF2-40B4-BE49-F238E27FC236}">
              <a16:creationId xmlns:a16="http://schemas.microsoft.com/office/drawing/2014/main" id="{003D4347-E3E0-AA1B-0273-420A348751BE}"/>
            </a:ext>
          </a:extLst>
        </cdr:cNvPr>
        <cdr:cNvSpPr>
          <a:spLocks xmlns:a="http://schemas.openxmlformats.org/drawingml/2006/main" noTextEdit="1"/>
        </cdr:cNvSpPr>
      </cdr:nvSpPr>
      <cdr:spPr>
        <a:xfrm xmlns:a="http://schemas.openxmlformats.org/drawingml/2006/main">
          <a:off x="0" y="0"/>
          <a:ext cx="8657167" cy="6286500"/>
        </a:xfrm>
        <a:prstGeom xmlns:a="http://schemas.openxmlformats.org/drawingml/2006/main" prst="rect">
          <a:avLst/>
        </a:prstGeom>
        <a:solidFill xmlns:a="http://schemas.openxmlformats.org/drawingml/2006/main">
          <a:prstClr val="white"/>
        </a:solidFill>
        <a:ln xmlns:a="http://schemas.openxmlformats.org/drawingml/2006/main" w="1">
          <a:solidFill>
            <a:prstClr val="green"/>
          </a:solidFill>
        </a:ln>
      </cdr:spPr>
      <cdr:txBody>
        <a:bodyPr xmlns:a="http://schemas.openxmlformats.org/drawingml/2006/main" vertOverflow="clip" horzOverflow="clip"/>
        <a:lstStyle xmlns:a="http://schemas.openxmlformats.org/drawingml/2006/main"/>
        <a:p xmlns:a="http://schemas.openxmlformats.org/drawingml/2006/main">
          <a:r>
            <a:rPr lang="en-US" sz="1100"/>
            <a:t>This chart isn't available in your version of Excel.
Editing this shape or saving this workbook into a different file format will permanently break the chart.</a:t>
          </a:r>
        </a:p>
      </cdr:txBody>
    </cdr:sp>
  </cdr:relSizeAnchor>
</c:userShape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097.536695949071" createdVersion="8" refreshedVersion="8" minRefreshableVersion="3" recordCount="70" xr:uid="{AF7F9585-7B20-49ED-B8ED-DA49088A0DEB}">
  <cacheSource type="worksheet">
    <worksheetSource name="Table2"/>
  </cacheSource>
  <cacheFields count="3">
    <cacheField name="Department" numFmtId="0">
      <sharedItems count="14">
        <s v="Apparel "/>
        <s v="Baseball "/>
        <s v="Basketball "/>
        <s v="Bike &amp; Skate "/>
        <s v="Fitness"/>
        <s v="Footwear "/>
        <s v="Game Room "/>
        <s v="Golf "/>
        <s v="Hiking"/>
        <s v="Hockey "/>
        <s v="Hunting "/>
        <s v="Lacrosse"/>
        <s v="Running "/>
        <s v="Snow Ski"/>
      </sharedItems>
    </cacheField>
    <cacheField name="City" numFmtId="0">
      <sharedItems count="5">
        <s v="Atlanta"/>
        <s v="Boston"/>
        <s v="Chicago"/>
        <s v="San Diego"/>
        <s v="St. Louis"/>
      </sharedItems>
    </cacheField>
    <cacheField name="Transactions" numFmtId="0">
      <sharedItems containsSemiMixedTypes="0" containsString="0" containsNumber="1" containsInteger="1" minValue="21" maxValue="1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">
  <r>
    <x v="0"/>
    <x v="0"/>
    <n v="71"/>
  </r>
  <r>
    <x v="1"/>
    <x v="0"/>
    <n v="96"/>
  </r>
  <r>
    <x v="2"/>
    <x v="0"/>
    <n v="82"/>
  </r>
  <r>
    <x v="3"/>
    <x v="0"/>
    <n v="70"/>
  </r>
  <r>
    <x v="4"/>
    <x v="0"/>
    <n v="69"/>
  </r>
  <r>
    <x v="5"/>
    <x v="0"/>
    <n v="71"/>
  </r>
  <r>
    <x v="6"/>
    <x v="0"/>
    <n v="93"/>
  </r>
  <r>
    <x v="7"/>
    <x v="0"/>
    <n v="55"/>
  </r>
  <r>
    <x v="8"/>
    <x v="0"/>
    <n v="52"/>
  </r>
  <r>
    <x v="9"/>
    <x v="0"/>
    <n v="79"/>
  </r>
  <r>
    <x v="10"/>
    <x v="0"/>
    <n v="72"/>
  </r>
  <r>
    <x v="11"/>
    <x v="0"/>
    <n v="65"/>
  </r>
  <r>
    <x v="12"/>
    <x v="0"/>
    <n v="95"/>
  </r>
  <r>
    <x v="13"/>
    <x v="0"/>
    <n v="21"/>
  </r>
  <r>
    <x v="0"/>
    <x v="1"/>
    <n v="61"/>
  </r>
  <r>
    <x v="1"/>
    <x v="1"/>
    <n v="76"/>
  </r>
  <r>
    <x v="2"/>
    <x v="1"/>
    <n v="55"/>
  </r>
  <r>
    <x v="3"/>
    <x v="1"/>
    <n v="82"/>
  </r>
  <r>
    <x v="4"/>
    <x v="1"/>
    <n v="76"/>
  </r>
  <r>
    <x v="5"/>
    <x v="1"/>
    <n v="35"/>
  </r>
  <r>
    <x v="6"/>
    <x v="1"/>
    <n v="42"/>
  </r>
  <r>
    <x v="7"/>
    <x v="1"/>
    <n v="65"/>
  </r>
  <r>
    <x v="8"/>
    <x v="1"/>
    <n v="32"/>
  </r>
  <r>
    <x v="9"/>
    <x v="1"/>
    <n v="55"/>
  </r>
  <r>
    <x v="10"/>
    <x v="1"/>
    <n v="26"/>
  </r>
  <r>
    <x v="11"/>
    <x v="1"/>
    <n v="46"/>
  </r>
  <r>
    <x v="12"/>
    <x v="1"/>
    <n v="76"/>
  </r>
  <r>
    <x v="13"/>
    <x v="1"/>
    <n v="82"/>
  </r>
  <r>
    <x v="0"/>
    <x v="2"/>
    <n v="59"/>
  </r>
  <r>
    <x v="1"/>
    <x v="2"/>
    <n v="66"/>
  </r>
  <r>
    <x v="2"/>
    <x v="2"/>
    <n v="95"/>
  </r>
  <r>
    <x v="3"/>
    <x v="2"/>
    <n v="66"/>
  </r>
  <r>
    <x v="4"/>
    <x v="2"/>
    <n v="50"/>
  </r>
  <r>
    <x v="5"/>
    <x v="2"/>
    <n v="78"/>
  </r>
  <r>
    <x v="6"/>
    <x v="2"/>
    <n v="88"/>
  </r>
  <r>
    <x v="7"/>
    <x v="2"/>
    <n v="82"/>
  </r>
  <r>
    <x v="8"/>
    <x v="2"/>
    <n v="57"/>
  </r>
  <r>
    <x v="9"/>
    <x v="2"/>
    <n v="69"/>
  </r>
  <r>
    <x v="10"/>
    <x v="2"/>
    <n v="80"/>
  </r>
  <r>
    <x v="11"/>
    <x v="2"/>
    <n v="94"/>
  </r>
  <r>
    <x v="12"/>
    <x v="2"/>
    <n v="90"/>
  </r>
  <r>
    <x v="13"/>
    <x v="2"/>
    <n v="45"/>
  </r>
  <r>
    <x v="0"/>
    <x v="3"/>
    <n v="67"/>
  </r>
  <r>
    <x v="1"/>
    <x v="3"/>
    <n v="72"/>
  </r>
  <r>
    <x v="2"/>
    <x v="3"/>
    <n v="55"/>
  </r>
  <r>
    <x v="3"/>
    <x v="3"/>
    <n v="73"/>
  </r>
  <r>
    <x v="4"/>
    <x v="3"/>
    <n v="60"/>
  </r>
  <r>
    <x v="5"/>
    <x v="3"/>
    <n v="75"/>
  </r>
  <r>
    <x v="6"/>
    <x v="3"/>
    <n v="95"/>
  </r>
  <r>
    <x v="7"/>
    <x v="3"/>
    <n v="89"/>
  </r>
  <r>
    <x v="8"/>
    <x v="3"/>
    <n v="85"/>
  </r>
  <r>
    <x v="9"/>
    <x v="3"/>
    <n v="93"/>
  </r>
  <r>
    <x v="10"/>
    <x v="3"/>
    <n v="59"/>
  </r>
  <r>
    <x v="11"/>
    <x v="3"/>
    <n v="83"/>
  </r>
  <r>
    <x v="12"/>
    <x v="3"/>
    <n v="100"/>
  </r>
  <r>
    <x v="13"/>
    <x v="3"/>
    <n v="83"/>
  </r>
  <r>
    <x v="0"/>
    <x v="4"/>
    <n v="45"/>
  </r>
  <r>
    <x v="1"/>
    <x v="4"/>
    <n v="32"/>
  </r>
  <r>
    <x v="2"/>
    <x v="4"/>
    <n v="67"/>
  </r>
  <r>
    <x v="3"/>
    <x v="4"/>
    <n v="72"/>
  </r>
  <r>
    <x v="4"/>
    <x v="4"/>
    <n v="55"/>
  </r>
  <r>
    <x v="5"/>
    <x v="4"/>
    <n v="65"/>
  </r>
  <r>
    <x v="6"/>
    <x v="4"/>
    <n v="87"/>
  </r>
  <r>
    <x v="7"/>
    <x v="4"/>
    <n v="89"/>
  </r>
  <r>
    <x v="8"/>
    <x v="4"/>
    <n v="65"/>
  </r>
  <r>
    <x v="9"/>
    <x v="4"/>
    <n v="89"/>
  </r>
  <r>
    <x v="10"/>
    <x v="4"/>
    <n v="24"/>
  </r>
  <r>
    <x v="11"/>
    <x v="4"/>
    <n v="83"/>
  </r>
  <r>
    <x v="12"/>
    <x v="4"/>
    <n v="45"/>
  </r>
  <r>
    <x v="13"/>
    <x v="4"/>
    <n v="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00F7296-5F7E-46E9-9E4F-7FF1D3FEE483}" name="PivotTable1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B18" firstHeaderRow="1" firstDataRow="1" firstDataCol="1" rowPageCount="1" colPageCount="1"/>
  <pivotFields count="3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Page" showAll="0">
      <items count="6">
        <item x="0"/>
        <item x="1"/>
        <item x="2"/>
        <item x="3"/>
        <item x="4"/>
        <item t="default"/>
      </items>
    </pivotField>
    <pivotField dataField="1" showAll="0"/>
  </pivotFields>
  <rowFields count="1">
    <field x="0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 t="grand">
      <x/>
    </i>
  </rowItems>
  <colItems count="1">
    <i/>
  </colItems>
  <pageFields count="1">
    <pageField fld="1" hier="-1"/>
  </pageFields>
  <dataFields count="1">
    <dataField name="Sum of Transactions" fld="2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55B4A61-6E0F-443E-ABB6-14C0EA07E3F9}" name="Table2" displayName="Table2" ref="A5:C75" totalsRowShown="0" headerRowCellStyle="Normal#pfnQYTawpRfZifl6ii+hiqqYtck367ajAch4VjJdRVY=" dataCellStyle="Normal#pfnQYTawpRfZifl6ii+hiqqYtck367ajAch4VjJdRVY=">
  <autoFilter ref="A5:C75" xr:uid="{855B4A61-6E0F-443E-ABB6-14C0EA07E3F9}"/>
  <tableColumns count="3">
    <tableColumn id="1" xr3:uid="{BA7EC6EC-B85D-4EA6-A649-5FF0BAA83BED}" name="Department" dataCellStyle="Normal#pfnQYTawpRfZifl6ii+hiqqYtck367ajAch4VjJdRVY="/>
    <tableColumn id="2" xr3:uid="{7E43420B-BF7E-4685-8E07-9B836F0B05F6}" name="City" dataCellStyle="Normal#pfnQYTawpRfZifl6ii+hiqqYtck367ajAch4VjJdRVY="/>
    <tableColumn id="3" xr3:uid="{78F60C10-3DA6-4D94-B4B9-D79B71ECADC4}" name="Transactions" dataCellStyle="Normal#pfnQYTawpRfZifl6ii+hiqqYtck367ajAch4VjJdRVY=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5C159BA-BB88-4F7F-97A9-AC9F4AC5A74C}" name="Table24" displayName="Table24" ref="A5:C76" totalsRowCount="1" headerRowCellStyle="Normal#pfnQYTawpRfZifl6ii+hiqqYtck367ajAch4VjJdRVY=" dataCellStyle="Normal#pfnQYTawpRfZifl6ii+hiqqYtck367ajAch4VjJdRVY=">
  <autoFilter ref="A5:C75" xr:uid="{855B4A61-6E0F-443E-ABB6-14C0EA07E3F9}">
    <filterColumn colId="0">
      <filters>
        <filter val="Bike &amp; Skate"/>
        <filter val="Game Room"/>
      </filters>
    </filterColumn>
  </autoFilter>
  <sortState xmlns:xlrd2="http://schemas.microsoft.com/office/spreadsheetml/2017/richdata2" ref="A6:C75">
    <sortCondition ref="A5:A75"/>
  </sortState>
  <tableColumns count="3">
    <tableColumn id="1" xr3:uid="{3A0273FA-E837-4355-A6B8-9B5081D9F2F1}" name="Department" totalsRowLabel="Total" dataCellStyle="Normal#pfnQYTawpRfZifl6ii+hiqqYtck367ajAch4VjJdRVY=" totalsRowCellStyle="Normal#pfnQYTawpRfZifl6ii+hiqqYtck367ajAch4VjJdRVY="/>
    <tableColumn id="2" xr3:uid="{38C1F48E-6CF6-4A6A-A686-02499CF259FB}" name="City" dataCellStyle="Normal#pfnQYTawpRfZifl6ii+hiqqYtck367ajAch4VjJdRVY=" totalsRowCellStyle="Normal#pfnQYTawpRfZifl6ii+hiqqYtck367ajAch4VjJdRVY="/>
    <tableColumn id="3" xr3:uid="{9E028183-24B2-48C8-B5ED-A76EDB2AB333}" name="Transactions" totalsRowFunction="sum" dataCellStyle="Normal#pfnQYTawpRfZifl6ii+hiqqYtck367ajAch4VjJdRVY=" totalsRowCellStyle="Normal#pfnQYTawpRfZifl6ii+hiqqYtck367ajAch4VjJdRVY=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986CA2F-3D31-4978-A408-B3AAF9C4A32C}" name="Table25" displayName="Table25" ref="A5:C75" totalsRowShown="0" headerRowCellStyle="Normal#pfnQYTawpRfZifl6ii+hiqqYtck367ajAch4VjJdRVY=" dataCellStyle="Normal#pfnQYTawpRfZifl6ii+hiqqYtck367ajAch4VjJdRVY=">
  <autoFilter ref="A5:C75" xr:uid="{855B4A61-6E0F-443E-ABB6-14C0EA07E3F9}">
    <filterColumn colId="1">
      <filters>
        <filter val="Baseball"/>
        <filter val="Basketball"/>
        <filter val="Bike &amp; Skate"/>
        <filter val="Fitness"/>
        <filter val="Game Room"/>
        <filter val="Golf"/>
        <filter val="Hiking"/>
        <filter val="Hockey"/>
        <filter val="Hunting"/>
        <filter val="Lacrosse"/>
        <filter val="Snow Ski"/>
      </filters>
    </filterColumn>
  </autoFilter>
  <tableColumns count="3">
    <tableColumn id="2" xr3:uid="{BD45B97D-3679-48E8-B753-EAD70C36516F}" name="City" dataCellStyle="Normal#pfnQYTawpRfZifl6ii+hiqqYtck367ajAch4VjJdRVY="/>
    <tableColumn id="1" xr3:uid="{6376F6FF-DF45-4973-920F-4D6A6CF24FFD}" name="Department" dataCellStyle="Normal#pfnQYTawpRfZifl6ii+hiqqYtck367ajAch4VjJdRVY="/>
    <tableColumn id="3" xr3:uid="{2E4ACB07-D769-4132-B15D-49005035C0C7}" name="Transactions" dataCellStyle="Normal#pfnQYTawpRfZifl6ii+hiqqYtck367ajAch4VjJdRVY=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DABB8-E392-421B-831E-A95FAC1A61AE}">
  <sheetPr>
    <pageSetUpPr fitToPage="1"/>
  </sheetPr>
  <dimension ref="A1:B18"/>
  <sheetViews>
    <sheetView topLeftCell="A4" workbookViewId="0">
      <selection activeCell="A21" sqref="A21"/>
    </sheetView>
  </sheetViews>
  <sheetFormatPr defaultRowHeight="14.5" x14ac:dyDescent="0.35"/>
  <cols>
    <col min="1" max="1" width="12.36328125" bestFit="1" customWidth="1"/>
    <col min="2" max="2" width="17.90625" bestFit="1" customWidth="1"/>
  </cols>
  <sheetData>
    <row r="1" spans="1:2" x14ac:dyDescent="0.35">
      <c r="A1" s="73" t="s">
        <v>14</v>
      </c>
      <c r="B1" t="s">
        <v>43</v>
      </c>
    </row>
    <row r="3" spans="1:2" x14ac:dyDescent="0.35">
      <c r="A3" s="73" t="s">
        <v>40</v>
      </c>
      <c r="B3" t="s">
        <v>42</v>
      </c>
    </row>
    <row r="4" spans="1:2" x14ac:dyDescent="0.35">
      <c r="A4" s="74" t="s">
        <v>1</v>
      </c>
      <c r="B4" s="69">
        <v>303</v>
      </c>
    </row>
    <row r="5" spans="1:2" x14ac:dyDescent="0.35">
      <c r="A5" s="74" t="s">
        <v>38</v>
      </c>
      <c r="B5" s="69">
        <v>342</v>
      </c>
    </row>
    <row r="6" spans="1:2" x14ac:dyDescent="0.35">
      <c r="A6" s="74" t="s">
        <v>4</v>
      </c>
      <c r="B6" s="69">
        <v>354</v>
      </c>
    </row>
    <row r="7" spans="1:2" x14ac:dyDescent="0.35">
      <c r="A7" s="74" t="s">
        <v>8</v>
      </c>
      <c r="B7" s="69">
        <v>363</v>
      </c>
    </row>
    <row r="8" spans="1:2" x14ac:dyDescent="0.35">
      <c r="A8" s="74" t="s">
        <v>29</v>
      </c>
      <c r="B8" s="69">
        <v>310</v>
      </c>
    </row>
    <row r="9" spans="1:2" x14ac:dyDescent="0.35">
      <c r="A9" s="74" t="s">
        <v>2</v>
      </c>
      <c r="B9" s="69">
        <v>324</v>
      </c>
    </row>
    <row r="10" spans="1:2" x14ac:dyDescent="0.35">
      <c r="A10" s="74" t="s">
        <v>7</v>
      </c>
      <c r="B10" s="69">
        <v>405</v>
      </c>
    </row>
    <row r="11" spans="1:2" x14ac:dyDescent="0.35">
      <c r="A11" s="74" t="s">
        <v>0</v>
      </c>
      <c r="B11" s="69">
        <v>380</v>
      </c>
    </row>
    <row r="12" spans="1:2" x14ac:dyDescent="0.35">
      <c r="A12" s="74" t="s">
        <v>30</v>
      </c>
      <c r="B12" s="69">
        <v>291</v>
      </c>
    </row>
    <row r="13" spans="1:2" x14ac:dyDescent="0.35">
      <c r="A13" s="74" t="s">
        <v>5</v>
      </c>
      <c r="B13" s="69">
        <v>385</v>
      </c>
    </row>
    <row r="14" spans="1:2" x14ac:dyDescent="0.35">
      <c r="A14" s="74" t="s">
        <v>6</v>
      </c>
      <c r="B14" s="69">
        <v>261</v>
      </c>
    </row>
    <row r="15" spans="1:2" x14ac:dyDescent="0.35">
      <c r="A15" s="74" t="s">
        <v>9</v>
      </c>
      <c r="B15" s="69">
        <v>371</v>
      </c>
    </row>
    <row r="16" spans="1:2" x14ac:dyDescent="0.35">
      <c r="A16" s="74" t="s">
        <v>3</v>
      </c>
      <c r="B16" s="69">
        <v>406</v>
      </c>
    </row>
    <row r="17" spans="1:2" x14ac:dyDescent="0.35">
      <c r="A17" s="74" t="s">
        <v>31</v>
      </c>
      <c r="B17" s="69">
        <v>263</v>
      </c>
    </row>
    <row r="18" spans="1:2" x14ac:dyDescent="0.35">
      <c r="A18" s="74" t="s">
        <v>41</v>
      </c>
      <c r="B18" s="69">
        <v>4758</v>
      </c>
    </row>
  </sheetData>
  <pageMargins left="0.7" right="0.7" top="0.75" bottom="0.75" header="0.3" footer="0.3"/>
  <pageSetup scale="90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C75"/>
  <sheetViews>
    <sheetView tabSelected="1" topLeftCell="A6" workbookViewId="0">
      <selection activeCell="A5" sqref="A5"/>
    </sheetView>
  </sheetViews>
  <sheetFormatPr defaultRowHeight="14.5" x14ac:dyDescent="0.35"/>
  <cols>
    <col min="1" max="3" width="15.6328125" style="1" customWidth="1"/>
  </cols>
  <sheetData>
    <row r="1" spans="1:3" ht="18.5" x14ac:dyDescent="0.45">
      <c r="A1" s="70" t="s">
        <v>33</v>
      </c>
      <c r="B1" s="71"/>
      <c r="C1" s="71"/>
    </row>
    <row r="2" spans="1:3" ht="18.5" x14ac:dyDescent="0.45">
      <c r="A2" s="70" t="s">
        <v>28</v>
      </c>
      <c r="B2" s="71"/>
      <c r="C2" s="71"/>
    </row>
    <row r="3" spans="1:3" ht="18.5" x14ac:dyDescent="0.45">
      <c r="A3" s="70" t="s">
        <v>16</v>
      </c>
      <c r="B3" s="71"/>
      <c r="C3" s="71"/>
    </row>
    <row r="5" spans="1:3" x14ac:dyDescent="0.35">
      <c r="A5" s="1" t="s">
        <v>13</v>
      </c>
      <c r="B5" s="1" t="s">
        <v>14</v>
      </c>
      <c r="C5" s="1" t="s">
        <v>15</v>
      </c>
    </row>
    <row r="6" spans="1:3" x14ac:dyDescent="0.35">
      <c r="A6" s="1" t="s">
        <v>1</v>
      </c>
      <c r="B6" s="1" t="s">
        <v>12</v>
      </c>
      <c r="C6" s="1">
        <v>71</v>
      </c>
    </row>
    <row r="7" spans="1:3" x14ac:dyDescent="0.35">
      <c r="A7" s="1" t="s">
        <v>38</v>
      </c>
      <c r="B7" s="1" t="s">
        <v>12</v>
      </c>
      <c r="C7" s="1">
        <v>96</v>
      </c>
    </row>
    <row r="8" spans="1:3" x14ac:dyDescent="0.35">
      <c r="A8" s="1" t="s">
        <v>4</v>
      </c>
      <c r="B8" s="1" t="s">
        <v>12</v>
      </c>
      <c r="C8" s="1">
        <v>82</v>
      </c>
    </row>
    <row r="9" spans="1:3" x14ac:dyDescent="0.35">
      <c r="A9" s="1" t="s">
        <v>8</v>
      </c>
      <c r="B9" s="1" t="s">
        <v>12</v>
      </c>
      <c r="C9" s="1">
        <v>70</v>
      </c>
    </row>
    <row r="10" spans="1:3" x14ac:dyDescent="0.35">
      <c r="A10" s="1" t="s">
        <v>29</v>
      </c>
      <c r="B10" s="1" t="s">
        <v>12</v>
      </c>
      <c r="C10" s="1">
        <v>69</v>
      </c>
    </row>
    <row r="11" spans="1:3" x14ac:dyDescent="0.35">
      <c r="A11" s="1" t="s">
        <v>2</v>
      </c>
      <c r="B11" s="1" t="s">
        <v>12</v>
      </c>
      <c r="C11" s="1">
        <v>71</v>
      </c>
    </row>
    <row r="12" spans="1:3" x14ac:dyDescent="0.35">
      <c r="A12" s="1" t="s">
        <v>7</v>
      </c>
      <c r="B12" s="1" t="s">
        <v>12</v>
      </c>
      <c r="C12" s="1">
        <v>93</v>
      </c>
    </row>
    <row r="13" spans="1:3" x14ac:dyDescent="0.35">
      <c r="A13" s="1" t="s">
        <v>0</v>
      </c>
      <c r="B13" s="1" t="s">
        <v>12</v>
      </c>
      <c r="C13" s="1">
        <v>55</v>
      </c>
    </row>
    <row r="14" spans="1:3" x14ac:dyDescent="0.35">
      <c r="A14" s="1" t="s">
        <v>30</v>
      </c>
      <c r="B14" s="1" t="s">
        <v>12</v>
      </c>
      <c r="C14" s="1">
        <v>52</v>
      </c>
    </row>
    <row r="15" spans="1:3" x14ac:dyDescent="0.35">
      <c r="A15" s="1" t="s">
        <v>5</v>
      </c>
      <c r="B15" s="1" t="s">
        <v>12</v>
      </c>
      <c r="C15" s="1">
        <v>79</v>
      </c>
    </row>
    <row r="16" spans="1:3" x14ac:dyDescent="0.35">
      <c r="A16" s="1" t="s">
        <v>6</v>
      </c>
      <c r="B16" s="1" t="s">
        <v>12</v>
      </c>
      <c r="C16" s="1">
        <v>72</v>
      </c>
    </row>
    <row r="17" spans="1:3" x14ac:dyDescent="0.35">
      <c r="A17" s="1" t="s">
        <v>9</v>
      </c>
      <c r="B17" s="1" t="s">
        <v>12</v>
      </c>
      <c r="C17" s="1">
        <v>65</v>
      </c>
    </row>
    <row r="18" spans="1:3" x14ac:dyDescent="0.35">
      <c r="A18" s="1" t="s">
        <v>3</v>
      </c>
      <c r="B18" s="1" t="s">
        <v>12</v>
      </c>
      <c r="C18" s="1">
        <v>95</v>
      </c>
    </row>
    <row r="19" spans="1:3" x14ac:dyDescent="0.35">
      <c r="A19" s="1" t="s">
        <v>31</v>
      </c>
      <c r="B19" s="1" t="s">
        <v>12</v>
      </c>
      <c r="C19" s="1">
        <v>21</v>
      </c>
    </row>
    <row r="20" spans="1:3" x14ac:dyDescent="0.35">
      <c r="A20" s="1" t="s">
        <v>1</v>
      </c>
      <c r="B20" s="1" t="s">
        <v>17</v>
      </c>
      <c r="C20" s="1">
        <v>61</v>
      </c>
    </row>
    <row r="21" spans="1:3" x14ac:dyDescent="0.35">
      <c r="A21" s="1" t="s">
        <v>38</v>
      </c>
      <c r="B21" s="1" t="s">
        <v>17</v>
      </c>
      <c r="C21" s="1">
        <v>76</v>
      </c>
    </row>
    <row r="22" spans="1:3" x14ac:dyDescent="0.35">
      <c r="A22" s="1" t="s">
        <v>4</v>
      </c>
      <c r="B22" s="1" t="s">
        <v>17</v>
      </c>
      <c r="C22" s="1">
        <v>55</v>
      </c>
    </row>
    <row r="23" spans="1:3" x14ac:dyDescent="0.35">
      <c r="A23" s="1" t="s">
        <v>8</v>
      </c>
      <c r="B23" s="1" t="s">
        <v>17</v>
      </c>
      <c r="C23" s="1">
        <v>82</v>
      </c>
    </row>
    <row r="24" spans="1:3" x14ac:dyDescent="0.35">
      <c r="A24" s="1" t="s">
        <v>29</v>
      </c>
      <c r="B24" s="1" t="s">
        <v>17</v>
      </c>
      <c r="C24" s="1">
        <v>76</v>
      </c>
    </row>
    <row r="25" spans="1:3" x14ac:dyDescent="0.35">
      <c r="A25" s="1" t="s">
        <v>2</v>
      </c>
      <c r="B25" s="1" t="s">
        <v>17</v>
      </c>
      <c r="C25" s="1">
        <v>35</v>
      </c>
    </row>
    <row r="26" spans="1:3" x14ac:dyDescent="0.35">
      <c r="A26" s="1" t="s">
        <v>7</v>
      </c>
      <c r="B26" s="1" t="s">
        <v>17</v>
      </c>
      <c r="C26" s="1">
        <v>42</v>
      </c>
    </row>
    <row r="27" spans="1:3" x14ac:dyDescent="0.35">
      <c r="A27" s="1" t="s">
        <v>0</v>
      </c>
      <c r="B27" s="1" t="s">
        <v>17</v>
      </c>
      <c r="C27" s="1">
        <v>65</v>
      </c>
    </row>
    <row r="28" spans="1:3" x14ac:dyDescent="0.35">
      <c r="A28" s="1" t="s">
        <v>30</v>
      </c>
      <c r="B28" s="1" t="s">
        <v>17</v>
      </c>
      <c r="C28" s="1">
        <v>32</v>
      </c>
    </row>
    <row r="29" spans="1:3" x14ac:dyDescent="0.35">
      <c r="A29" s="1" t="s">
        <v>5</v>
      </c>
      <c r="B29" s="1" t="s">
        <v>17</v>
      </c>
      <c r="C29" s="1">
        <v>55</v>
      </c>
    </row>
    <row r="30" spans="1:3" x14ac:dyDescent="0.35">
      <c r="A30" s="1" t="s">
        <v>6</v>
      </c>
      <c r="B30" s="1" t="s">
        <v>17</v>
      </c>
      <c r="C30" s="1">
        <v>26</v>
      </c>
    </row>
    <row r="31" spans="1:3" x14ac:dyDescent="0.35">
      <c r="A31" s="1" t="s">
        <v>9</v>
      </c>
      <c r="B31" s="1" t="s">
        <v>17</v>
      </c>
      <c r="C31" s="1">
        <v>46</v>
      </c>
    </row>
    <row r="32" spans="1:3" x14ac:dyDescent="0.35">
      <c r="A32" s="1" t="s">
        <v>3</v>
      </c>
      <c r="B32" s="1" t="s">
        <v>17</v>
      </c>
      <c r="C32" s="1">
        <v>76</v>
      </c>
    </row>
    <row r="33" spans="1:3" x14ac:dyDescent="0.35">
      <c r="A33" s="1" t="s">
        <v>31</v>
      </c>
      <c r="B33" s="1" t="s">
        <v>17</v>
      </c>
      <c r="C33" s="1">
        <v>82</v>
      </c>
    </row>
    <row r="34" spans="1:3" x14ac:dyDescent="0.35">
      <c r="A34" s="1" t="s">
        <v>1</v>
      </c>
      <c r="B34" s="1" t="s">
        <v>10</v>
      </c>
      <c r="C34" s="1">
        <v>59</v>
      </c>
    </row>
    <row r="35" spans="1:3" x14ac:dyDescent="0.35">
      <c r="A35" s="1" t="s">
        <v>38</v>
      </c>
      <c r="B35" s="1" t="s">
        <v>10</v>
      </c>
      <c r="C35" s="1">
        <v>66</v>
      </c>
    </row>
    <row r="36" spans="1:3" x14ac:dyDescent="0.35">
      <c r="A36" s="1" t="s">
        <v>4</v>
      </c>
      <c r="B36" s="1" t="s">
        <v>10</v>
      </c>
      <c r="C36" s="1">
        <v>95</v>
      </c>
    </row>
    <row r="37" spans="1:3" x14ac:dyDescent="0.35">
      <c r="A37" s="1" t="s">
        <v>8</v>
      </c>
      <c r="B37" s="1" t="s">
        <v>10</v>
      </c>
      <c r="C37" s="1">
        <v>66</v>
      </c>
    </row>
    <row r="38" spans="1:3" x14ac:dyDescent="0.35">
      <c r="A38" s="1" t="s">
        <v>29</v>
      </c>
      <c r="B38" s="1" t="s">
        <v>10</v>
      </c>
      <c r="C38" s="1">
        <v>50</v>
      </c>
    </row>
    <row r="39" spans="1:3" x14ac:dyDescent="0.35">
      <c r="A39" s="1" t="s">
        <v>2</v>
      </c>
      <c r="B39" s="1" t="s">
        <v>10</v>
      </c>
      <c r="C39" s="1">
        <v>78</v>
      </c>
    </row>
    <row r="40" spans="1:3" x14ac:dyDescent="0.35">
      <c r="A40" s="1" t="s">
        <v>7</v>
      </c>
      <c r="B40" s="1" t="s">
        <v>10</v>
      </c>
      <c r="C40" s="1">
        <v>88</v>
      </c>
    </row>
    <row r="41" spans="1:3" x14ac:dyDescent="0.35">
      <c r="A41" s="1" t="s">
        <v>0</v>
      </c>
      <c r="B41" s="1" t="s">
        <v>10</v>
      </c>
      <c r="C41" s="1">
        <v>82</v>
      </c>
    </row>
    <row r="42" spans="1:3" x14ac:dyDescent="0.35">
      <c r="A42" s="1" t="s">
        <v>30</v>
      </c>
      <c r="B42" s="1" t="s">
        <v>10</v>
      </c>
      <c r="C42" s="1">
        <v>57</v>
      </c>
    </row>
    <row r="43" spans="1:3" x14ac:dyDescent="0.35">
      <c r="A43" s="1" t="s">
        <v>5</v>
      </c>
      <c r="B43" s="1" t="s">
        <v>10</v>
      </c>
      <c r="C43" s="1">
        <v>69</v>
      </c>
    </row>
    <row r="44" spans="1:3" x14ac:dyDescent="0.35">
      <c r="A44" s="1" t="s">
        <v>6</v>
      </c>
      <c r="B44" s="1" t="s">
        <v>10</v>
      </c>
      <c r="C44" s="1">
        <v>80</v>
      </c>
    </row>
    <row r="45" spans="1:3" x14ac:dyDescent="0.35">
      <c r="A45" s="1" t="s">
        <v>9</v>
      </c>
      <c r="B45" s="1" t="s">
        <v>10</v>
      </c>
      <c r="C45" s="1">
        <v>94</v>
      </c>
    </row>
    <row r="46" spans="1:3" x14ac:dyDescent="0.35">
      <c r="A46" s="1" t="s">
        <v>3</v>
      </c>
      <c r="B46" s="1" t="s">
        <v>10</v>
      </c>
      <c r="C46" s="1">
        <v>90</v>
      </c>
    </row>
    <row r="47" spans="1:3" x14ac:dyDescent="0.35">
      <c r="A47" s="1" t="s">
        <v>31</v>
      </c>
      <c r="B47" s="1" t="s">
        <v>10</v>
      </c>
      <c r="C47" s="1">
        <v>45</v>
      </c>
    </row>
    <row r="48" spans="1:3" x14ac:dyDescent="0.35">
      <c r="A48" s="1" t="s">
        <v>1</v>
      </c>
      <c r="B48" s="1" t="s">
        <v>32</v>
      </c>
      <c r="C48" s="1">
        <v>67</v>
      </c>
    </row>
    <row r="49" spans="1:3" x14ac:dyDescent="0.35">
      <c r="A49" s="1" t="s">
        <v>38</v>
      </c>
      <c r="B49" s="1" t="s">
        <v>32</v>
      </c>
      <c r="C49" s="1">
        <v>72</v>
      </c>
    </row>
    <row r="50" spans="1:3" x14ac:dyDescent="0.35">
      <c r="A50" s="1" t="s">
        <v>4</v>
      </c>
      <c r="B50" s="1" t="s">
        <v>32</v>
      </c>
      <c r="C50" s="1">
        <v>55</v>
      </c>
    </row>
    <row r="51" spans="1:3" x14ac:dyDescent="0.35">
      <c r="A51" s="1" t="s">
        <v>8</v>
      </c>
      <c r="B51" s="1" t="s">
        <v>32</v>
      </c>
      <c r="C51" s="1">
        <v>73</v>
      </c>
    </row>
    <row r="52" spans="1:3" x14ac:dyDescent="0.35">
      <c r="A52" s="1" t="s">
        <v>29</v>
      </c>
      <c r="B52" s="1" t="s">
        <v>32</v>
      </c>
      <c r="C52" s="1">
        <v>60</v>
      </c>
    </row>
    <row r="53" spans="1:3" x14ac:dyDescent="0.35">
      <c r="A53" s="1" t="s">
        <v>2</v>
      </c>
      <c r="B53" s="1" t="s">
        <v>32</v>
      </c>
      <c r="C53" s="1">
        <v>75</v>
      </c>
    </row>
    <row r="54" spans="1:3" x14ac:dyDescent="0.35">
      <c r="A54" s="1" t="s">
        <v>7</v>
      </c>
      <c r="B54" s="1" t="s">
        <v>32</v>
      </c>
      <c r="C54" s="1">
        <v>95</v>
      </c>
    </row>
    <row r="55" spans="1:3" x14ac:dyDescent="0.35">
      <c r="A55" s="1" t="s">
        <v>0</v>
      </c>
      <c r="B55" s="1" t="s">
        <v>32</v>
      </c>
      <c r="C55" s="1">
        <v>89</v>
      </c>
    </row>
    <row r="56" spans="1:3" x14ac:dyDescent="0.35">
      <c r="A56" s="1" t="s">
        <v>30</v>
      </c>
      <c r="B56" s="1" t="s">
        <v>32</v>
      </c>
      <c r="C56" s="1">
        <v>85</v>
      </c>
    </row>
    <row r="57" spans="1:3" x14ac:dyDescent="0.35">
      <c r="A57" s="1" t="s">
        <v>5</v>
      </c>
      <c r="B57" s="1" t="s">
        <v>32</v>
      </c>
      <c r="C57" s="1">
        <v>93</v>
      </c>
    </row>
    <row r="58" spans="1:3" x14ac:dyDescent="0.35">
      <c r="A58" s="1" t="s">
        <v>6</v>
      </c>
      <c r="B58" s="1" t="s">
        <v>32</v>
      </c>
      <c r="C58" s="1">
        <v>59</v>
      </c>
    </row>
    <row r="59" spans="1:3" x14ac:dyDescent="0.35">
      <c r="A59" s="1" t="s">
        <v>9</v>
      </c>
      <c r="B59" s="1" t="s">
        <v>32</v>
      </c>
      <c r="C59" s="1">
        <v>83</v>
      </c>
    </row>
    <row r="60" spans="1:3" x14ac:dyDescent="0.35">
      <c r="A60" s="1" t="s">
        <v>3</v>
      </c>
      <c r="B60" s="1" t="s">
        <v>32</v>
      </c>
      <c r="C60" s="1">
        <v>100</v>
      </c>
    </row>
    <row r="61" spans="1:3" x14ac:dyDescent="0.35">
      <c r="A61" s="1" t="s">
        <v>31</v>
      </c>
      <c r="B61" s="1" t="s">
        <v>32</v>
      </c>
      <c r="C61" s="1">
        <v>83</v>
      </c>
    </row>
    <row r="62" spans="1:3" x14ac:dyDescent="0.35">
      <c r="A62" s="1" t="s">
        <v>1</v>
      </c>
      <c r="B62" s="1" t="s">
        <v>11</v>
      </c>
      <c r="C62" s="1">
        <v>45</v>
      </c>
    </row>
    <row r="63" spans="1:3" x14ac:dyDescent="0.35">
      <c r="A63" s="1" t="s">
        <v>38</v>
      </c>
      <c r="B63" s="1" t="s">
        <v>11</v>
      </c>
      <c r="C63" s="1">
        <v>32</v>
      </c>
    </row>
    <row r="64" spans="1:3" x14ac:dyDescent="0.35">
      <c r="A64" s="1" t="s">
        <v>4</v>
      </c>
      <c r="B64" s="1" t="s">
        <v>11</v>
      </c>
      <c r="C64" s="1">
        <v>67</v>
      </c>
    </row>
    <row r="65" spans="1:3" x14ac:dyDescent="0.35">
      <c r="A65" s="1" t="s">
        <v>8</v>
      </c>
      <c r="B65" s="1" t="s">
        <v>11</v>
      </c>
      <c r="C65" s="1">
        <v>72</v>
      </c>
    </row>
    <row r="66" spans="1:3" x14ac:dyDescent="0.35">
      <c r="A66" s="1" t="s">
        <v>29</v>
      </c>
      <c r="B66" s="1" t="s">
        <v>11</v>
      </c>
      <c r="C66" s="1">
        <v>55</v>
      </c>
    </row>
    <row r="67" spans="1:3" x14ac:dyDescent="0.35">
      <c r="A67" s="1" t="s">
        <v>2</v>
      </c>
      <c r="B67" s="1" t="s">
        <v>11</v>
      </c>
      <c r="C67" s="1">
        <v>65</v>
      </c>
    </row>
    <row r="68" spans="1:3" x14ac:dyDescent="0.35">
      <c r="A68" s="1" t="s">
        <v>7</v>
      </c>
      <c r="B68" s="1" t="s">
        <v>11</v>
      </c>
      <c r="C68" s="1">
        <v>87</v>
      </c>
    </row>
    <row r="69" spans="1:3" x14ac:dyDescent="0.35">
      <c r="A69" s="1" t="s">
        <v>0</v>
      </c>
      <c r="B69" s="1" t="s">
        <v>11</v>
      </c>
      <c r="C69" s="1">
        <v>89</v>
      </c>
    </row>
    <row r="70" spans="1:3" x14ac:dyDescent="0.35">
      <c r="A70" s="1" t="s">
        <v>30</v>
      </c>
      <c r="B70" s="1" t="s">
        <v>11</v>
      </c>
      <c r="C70" s="1">
        <v>65</v>
      </c>
    </row>
    <row r="71" spans="1:3" x14ac:dyDescent="0.35">
      <c r="A71" s="1" t="s">
        <v>5</v>
      </c>
      <c r="B71" s="1" t="s">
        <v>11</v>
      </c>
      <c r="C71" s="1">
        <v>89</v>
      </c>
    </row>
    <row r="72" spans="1:3" x14ac:dyDescent="0.35">
      <c r="A72" s="1" t="s">
        <v>6</v>
      </c>
      <c r="B72" s="1" t="s">
        <v>11</v>
      </c>
      <c r="C72" s="1">
        <v>24</v>
      </c>
    </row>
    <row r="73" spans="1:3" x14ac:dyDescent="0.35">
      <c r="A73" s="1" t="s">
        <v>9</v>
      </c>
      <c r="B73" s="1" t="s">
        <v>11</v>
      </c>
      <c r="C73" s="1">
        <v>83</v>
      </c>
    </row>
    <row r="74" spans="1:3" x14ac:dyDescent="0.35">
      <c r="A74" s="1" t="s">
        <v>3</v>
      </c>
      <c r="B74" s="1" t="s">
        <v>11</v>
      </c>
      <c r="C74" s="1">
        <v>45</v>
      </c>
    </row>
    <row r="75" spans="1:3" x14ac:dyDescent="0.35">
      <c r="A75" s="1" t="s">
        <v>31</v>
      </c>
      <c r="B75" s="1" t="s">
        <v>11</v>
      </c>
      <c r="C75" s="1">
        <v>32</v>
      </c>
    </row>
  </sheetData>
  <pageMargins left="0.7" right="0.7" top="0.75" bottom="0.75" header="0.3" footer="0.3"/>
  <pageSetup scale="62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 tint="0.59999389629810485"/>
  </sheetPr>
  <dimension ref="A2:J34"/>
  <sheetViews>
    <sheetView zoomScale="90" zoomScaleNormal="90" workbookViewId="0"/>
  </sheetViews>
  <sheetFormatPr defaultColWidth="9.08984375" defaultRowHeight="14.5" x14ac:dyDescent="0.35"/>
  <cols>
    <col min="1" max="1" width="13.90625" style="31" customWidth="1"/>
    <col min="2" max="2" width="14" style="31" customWidth="1"/>
    <col min="3" max="3" width="14" style="77" customWidth="1"/>
    <col min="4" max="4" width="20.08984375" style="31" customWidth="1"/>
    <col min="5" max="5" width="13.6328125" style="31" customWidth="1"/>
    <col min="6" max="8" width="9.08984375" style="31"/>
    <col min="9" max="9" width="12.54296875" style="31" customWidth="1"/>
    <col min="10" max="10" width="12.453125" style="31" customWidth="1"/>
    <col min="11" max="16384" width="9.08984375" style="31"/>
  </cols>
  <sheetData>
    <row r="2" spans="1:10" ht="23.5" x14ac:dyDescent="0.55000000000000004">
      <c r="A2" s="46" t="s">
        <v>33</v>
      </c>
      <c r="B2" s="47"/>
      <c r="C2" s="75"/>
      <c r="D2" s="48"/>
      <c r="E2" s="45"/>
      <c r="F2" s="29"/>
    </row>
    <row r="3" spans="1:10" ht="23.5" x14ac:dyDescent="0.55000000000000004">
      <c r="A3" s="49" t="s">
        <v>35</v>
      </c>
      <c r="B3" s="50"/>
      <c r="C3" s="76"/>
      <c r="D3" s="51"/>
      <c r="E3" s="45"/>
      <c r="F3" s="29"/>
    </row>
    <row r="4" spans="1:10" x14ac:dyDescent="0.35">
      <c r="A4" s="81"/>
      <c r="D4" s="82"/>
    </row>
    <row r="5" spans="1:10" ht="30" customHeight="1" x14ac:dyDescent="0.35">
      <c r="A5" s="32" t="s">
        <v>19</v>
      </c>
      <c r="B5" s="33" t="s">
        <v>27</v>
      </c>
      <c r="C5" s="78" t="s">
        <v>18</v>
      </c>
      <c r="D5" s="33" t="s">
        <v>34</v>
      </c>
    </row>
    <row r="6" spans="1:10" ht="16.5" customHeight="1" x14ac:dyDescent="0.35">
      <c r="A6" s="34" t="s">
        <v>12</v>
      </c>
      <c r="B6" s="35">
        <v>195.32</v>
      </c>
      <c r="C6" s="79">
        <f>_xlfn.XLOOKUP(A6,Cities,TaxRates)</f>
        <v>8.8999999999999996E-2</v>
      </c>
      <c r="D6" s="36">
        <f>B6*(1+C6)</f>
        <v>212.70347999999998</v>
      </c>
    </row>
    <row r="7" spans="1:10" ht="16.5" customHeight="1" x14ac:dyDescent="0.35">
      <c r="A7" s="34" t="s">
        <v>12</v>
      </c>
      <c r="B7" s="35">
        <v>200.76</v>
      </c>
      <c r="C7" s="79">
        <f>_xlfn.XLOOKUP(A7,Cities,TaxRates)</f>
        <v>8.8999999999999996E-2</v>
      </c>
      <c r="D7" s="36">
        <f t="shared" ref="D7:D30" si="0">B7*(1+C7)</f>
        <v>218.62763999999999</v>
      </c>
    </row>
    <row r="8" spans="1:10" ht="16.5" customHeight="1" x14ac:dyDescent="0.35">
      <c r="A8" s="34" t="s">
        <v>12</v>
      </c>
      <c r="B8" s="35">
        <v>225.45</v>
      </c>
      <c r="C8" s="79">
        <f>_xlfn.XLOOKUP(A8,Cities,TaxRates)</f>
        <v>8.8999999999999996E-2</v>
      </c>
      <c r="D8" s="36">
        <f t="shared" si="0"/>
        <v>245.51504999999997</v>
      </c>
    </row>
    <row r="9" spans="1:10" ht="16.5" customHeight="1" x14ac:dyDescent="0.35">
      <c r="A9" s="34" t="s">
        <v>12</v>
      </c>
      <c r="B9" s="35">
        <v>225.89</v>
      </c>
      <c r="C9" s="79">
        <f>_xlfn.XLOOKUP(A9,Cities,TaxRates)</f>
        <v>8.8999999999999996E-2</v>
      </c>
      <c r="D9" s="36">
        <f t="shared" si="0"/>
        <v>245.99420999999998</v>
      </c>
    </row>
    <row r="10" spans="1:10" ht="16.5" customHeight="1" x14ac:dyDescent="0.35">
      <c r="A10" s="34" t="s">
        <v>12</v>
      </c>
      <c r="B10" s="35">
        <v>187.2</v>
      </c>
      <c r="C10" s="79">
        <f>_xlfn.XLOOKUP(A10,Cities,TaxRates)</f>
        <v>8.8999999999999996E-2</v>
      </c>
      <c r="D10" s="36">
        <f t="shared" si="0"/>
        <v>203.86079999999998</v>
      </c>
    </row>
    <row r="11" spans="1:10" ht="16.5" customHeight="1" x14ac:dyDescent="0.35">
      <c r="A11" s="34" t="s">
        <v>10</v>
      </c>
      <c r="B11" s="35">
        <v>184.32</v>
      </c>
      <c r="C11" s="79">
        <f>_xlfn.XLOOKUP(A11,Cities,TaxRates)</f>
        <v>0.10249999999999999</v>
      </c>
      <c r="D11" s="36">
        <f t="shared" si="0"/>
        <v>203.21279999999999</v>
      </c>
      <c r="I11" s="29"/>
      <c r="J11" s="29"/>
    </row>
    <row r="12" spans="1:10" ht="16.5" customHeight="1" x14ac:dyDescent="0.35">
      <c r="A12" s="34" t="s">
        <v>10</v>
      </c>
      <c r="B12" s="35">
        <v>275</v>
      </c>
      <c r="C12" s="79">
        <f>_xlfn.XLOOKUP(A12,Cities,TaxRates)</f>
        <v>0.10249999999999999</v>
      </c>
      <c r="D12" s="36">
        <f t="shared" si="0"/>
        <v>303.1875</v>
      </c>
      <c r="I12" s="29"/>
      <c r="J12" s="29"/>
    </row>
    <row r="13" spans="1:10" ht="16.5" customHeight="1" x14ac:dyDescent="0.35">
      <c r="A13" s="34" t="s">
        <v>10</v>
      </c>
      <c r="B13" s="35">
        <v>325.89</v>
      </c>
      <c r="C13" s="79">
        <f>_xlfn.XLOOKUP(A13,Cities,TaxRates)</f>
        <v>0.10249999999999999</v>
      </c>
      <c r="D13" s="36">
        <f t="shared" si="0"/>
        <v>359.29372499999999</v>
      </c>
      <c r="I13" s="29"/>
      <c r="J13" s="29"/>
    </row>
    <row r="14" spans="1:10" ht="16.5" customHeight="1" x14ac:dyDescent="0.35">
      <c r="A14" s="34" t="s">
        <v>10</v>
      </c>
      <c r="B14" s="35">
        <v>199.99</v>
      </c>
      <c r="C14" s="79">
        <f>_xlfn.XLOOKUP(A14,Cities,TaxRates)</f>
        <v>0.10249999999999999</v>
      </c>
      <c r="D14" s="36">
        <f t="shared" si="0"/>
        <v>220.48897500000001</v>
      </c>
      <c r="I14" s="29"/>
      <c r="J14" s="29"/>
    </row>
    <row r="15" spans="1:10" ht="16.5" customHeight="1" x14ac:dyDescent="0.35">
      <c r="A15" s="34" t="s">
        <v>10</v>
      </c>
      <c r="B15" s="35">
        <v>242.89</v>
      </c>
      <c r="C15" s="79">
        <f>_xlfn.XLOOKUP(A15,Cities,TaxRates)</f>
        <v>0.10249999999999999</v>
      </c>
      <c r="D15" s="36">
        <f t="shared" si="0"/>
        <v>267.786225</v>
      </c>
      <c r="I15" s="29"/>
      <c r="J15" s="29"/>
    </row>
    <row r="16" spans="1:10" ht="16.5" customHeight="1" x14ac:dyDescent="0.35">
      <c r="A16" s="34" t="s">
        <v>17</v>
      </c>
      <c r="B16" s="35">
        <v>139.99</v>
      </c>
      <c r="C16" s="79">
        <f>_xlfn.XLOOKUP(A16,Cities,TaxRates)</f>
        <v>6.25E-2</v>
      </c>
      <c r="D16" s="36">
        <f t="shared" si="0"/>
        <v>148.739375</v>
      </c>
    </row>
    <row r="17" spans="1:4" ht="16.5" customHeight="1" x14ac:dyDescent="0.35">
      <c r="A17" s="34" t="s">
        <v>17</v>
      </c>
      <c r="B17" s="35">
        <v>299.99</v>
      </c>
      <c r="C17" s="79">
        <f>_xlfn.XLOOKUP(A17,Cities,TaxRates)</f>
        <v>6.25E-2</v>
      </c>
      <c r="D17" s="36">
        <f t="shared" si="0"/>
        <v>318.739375</v>
      </c>
    </row>
    <row r="18" spans="1:4" ht="16.5" customHeight="1" x14ac:dyDescent="0.35">
      <c r="A18" s="34" t="s">
        <v>17</v>
      </c>
      <c r="B18" s="35">
        <v>119.99</v>
      </c>
      <c r="C18" s="79">
        <f>_xlfn.XLOOKUP(A18,Cities,TaxRates)</f>
        <v>6.25E-2</v>
      </c>
      <c r="D18" s="36">
        <f t="shared" si="0"/>
        <v>127.489375</v>
      </c>
    </row>
    <row r="19" spans="1:4" ht="16.5" customHeight="1" x14ac:dyDescent="0.35">
      <c r="A19" s="34" t="s">
        <v>17</v>
      </c>
      <c r="B19" s="35">
        <v>475</v>
      </c>
      <c r="C19" s="79">
        <f>_xlfn.XLOOKUP(A19,Cities,TaxRates)</f>
        <v>6.25E-2</v>
      </c>
      <c r="D19" s="36">
        <f t="shared" si="0"/>
        <v>504.6875</v>
      </c>
    </row>
    <row r="20" spans="1:4" ht="16.5" customHeight="1" x14ac:dyDescent="0.35">
      <c r="A20" s="34" t="s">
        <v>17</v>
      </c>
      <c r="B20" s="35">
        <v>375</v>
      </c>
      <c r="C20" s="79">
        <f>_xlfn.XLOOKUP(A20,Cities,TaxRates)</f>
        <v>6.25E-2</v>
      </c>
      <c r="D20" s="36">
        <f t="shared" si="0"/>
        <v>398.4375</v>
      </c>
    </row>
    <row r="21" spans="1:4" ht="16.5" customHeight="1" x14ac:dyDescent="0.35">
      <c r="A21" s="34" t="s">
        <v>32</v>
      </c>
      <c r="B21" s="35">
        <v>345.89</v>
      </c>
      <c r="C21" s="79">
        <f>_xlfn.XLOOKUP(A21,Cities,TaxRates)</f>
        <v>7.7499999999999999E-2</v>
      </c>
      <c r="D21" s="36">
        <f t="shared" si="0"/>
        <v>372.69647499999996</v>
      </c>
    </row>
    <row r="22" spans="1:4" ht="16.5" customHeight="1" x14ac:dyDescent="0.35">
      <c r="A22" s="34" t="s">
        <v>32</v>
      </c>
      <c r="B22" s="35">
        <v>185.99</v>
      </c>
      <c r="C22" s="79">
        <f>_xlfn.XLOOKUP(A22,Cities,TaxRates)</f>
        <v>7.7499999999999999E-2</v>
      </c>
      <c r="D22" s="36">
        <f t="shared" si="0"/>
        <v>200.404225</v>
      </c>
    </row>
    <row r="23" spans="1:4" ht="16.5" customHeight="1" x14ac:dyDescent="0.35">
      <c r="A23" s="34" t="s">
        <v>32</v>
      </c>
      <c r="B23" s="35">
        <v>231.21</v>
      </c>
      <c r="C23" s="79">
        <f>_xlfn.XLOOKUP(A23,Cities,TaxRates)</f>
        <v>7.7499999999999999E-2</v>
      </c>
      <c r="D23" s="36">
        <f t="shared" si="0"/>
        <v>249.12877499999999</v>
      </c>
    </row>
    <row r="24" spans="1:4" ht="16.5" customHeight="1" x14ac:dyDescent="0.35">
      <c r="A24" s="34" t="s">
        <v>32</v>
      </c>
      <c r="B24" s="35">
        <v>425</v>
      </c>
      <c r="C24" s="79">
        <f>_xlfn.XLOOKUP(A24,Cities,TaxRates)</f>
        <v>7.7499999999999999E-2</v>
      </c>
      <c r="D24" s="36">
        <f t="shared" si="0"/>
        <v>457.93749999999994</v>
      </c>
    </row>
    <row r="25" spans="1:4" x14ac:dyDescent="0.35">
      <c r="A25" s="42" t="s">
        <v>32</v>
      </c>
      <c r="B25" s="35">
        <v>85.99</v>
      </c>
      <c r="C25" s="79">
        <f>_xlfn.XLOOKUP(A25,Cities,TaxRates)</f>
        <v>7.7499999999999999E-2</v>
      </c>
      <c r="D25" s="36">
        <f t="shared" si="0"/>
        <v>92.654224999999983</v>
      </c>
    </row>
    <row r="26" spans="1:4" x14ac:dyDescent="0.35">
      <c r="A26" s="34" t="s">
        <v>11</v>
      </c>
      <c r="B26" s="35">
        <v>135.99</v>
      </c>
      <c r="C26" s="79">
        <f>_xlfn.XLOOKUP(A26,Cities,TaxRates)</f>
        <v>9.7500000000000003E-2</v>
      </c>
      <c r="D26" s="36">
        <f t="shared" si="0"/>
        <v>149.24902499999999</v>
      </c>
    </row>
    <row r="27" spans="1:4" x14ac:dyDescent="0.35">
      <c r="A27" s="34" t="s">
        <v>11</v>
      </c>
      <c r="B27" s="35">
        <v>175.89</v>
      </c>
      <c r="C27" s="79">
        <f>_xlfn.XLOOKUP(A27,Cities,TaxRates)</f>
        <v>9.7500000000000003E-2</v>
      </c>
      <c r="D27" s="36">
        <f t="shared" si="0"/>
        <v>193.03927499999998</v>
      </c>
    </row>
    <row r="28" spans="1:4" x14ac:dyDescent="0.35">
      <c r="A28" s="34" t="s">
        <v>11</v>
      </c>
      <c r="B28" s="35">
        <v>195.99</v>
      </c>
      <c r="C28" s="79">
        <f>_xlfn.XLOOKUP(A28,Cities,TaxRates)</f>
        <v>9.7500000000000003E-2</v>
      </c>
      <c r="D28" s="36">
        <f t="shared" si="0"/>
        <v>215.09902499999998</v>
      </c>
    </row>
    <row r="29" spans="1:4" x14ac:dyDescent="0.35">
      <c r="A29" s="34" t="s">
        <v>11</v>
      </c>
      <c r="B29" s="35">
        <v>225</v>
      </c>
      <c r="C29" s="79">
        <f>_xlfn.XLOOKUP(A29,Cities,TaxRates)</f>
        <v>9.7500000000000003E-2</v>
      </c>
      <c r="D29" s="36">
        <f t="shared" si="0"/>
        <v>246.93749999999997</v>
      </c>
    </row>
    <row r="30" spans="1:4" x14ac:dyDescent="0.35">
      <c r="A30" s="42" t="s">
        <v>11</v>
      </c>
      <c r="B30" s="35">
        <v>94.2</v>
      </c>
      <c r="C30" s="79">
        <f>_xlfn.XLOOKUP(A30,Cities,TaxRates)</f>
        <v>9.7500000000000003E-2</v>
      </c>
      <c r="D30" s="36">
        <f t="shared" si="0"/>
        <v>103.38449999999999</v>
      </c>
    </row>
    <row r="31" spans="1:4" x14ac:dyDescent="0.35">
      <c r="B31" s="29"/>
      <c r="C31" s="80"/>
    </row>
    <row r="32" spans="1:4" x14ac:dyDescent="0.35">
      <c r="B32" s="29"/>
      <c r="C32" s="80"/>
    </row>
    <row r="33" spans="2:3" x14ac:dyDescent="0.35">
      <c r="B33" s="29"/>
      <c r="C33" s="80"/>
    </row>
    <row r="34" spans="2:3" x14ac:dyDescent="0.35">
      <c r="B34" s="29"/>
      <c r="C34" s="80"/>
    </row>
  </sheetData>
  <printOptions horizontalCentered="1"/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K28"/>
  <sheetViews>
    <sheetView zoomScale="85" zoomScaleNormal="85" workbookViewId="0">
      <selection activeCell="K8" sqref="K8"/>
    </sheetView>
  </sheetViews>
  <sheetFormatPr defaultColWidth="9.08984375" defaultRowHeight="14.5" x14ac:dyDescent="0.35"/>
  <cols>
    <col min="1" max="1" width="2.90625" style="5" customWidth="1"/>
    <col min="2" max="2" width="20.453125" style="5" customWidth="1"/>
    <col min="3" max="3" width="13.08984375" style="90" customWidth="1"/>
    <col min="4" max="4" width="13.54296875" style="5" customWidth="1"/>
    <col min="5" max="5" width="14.90625" style="5" customWidth="1"/>
    <col min="6" max="7" width="13.36328125" style="5" customWidth="1"/>
    <col min="8" max="8" width="14.08984375" style="5" customWidth="1"/>
    <col min="9" max="9" width="2.90625" style="5" customWidth="1"/>
    <col min="10" max="10" width="9.6328125" style="5" customWidth="1"/>
    <col min="11" max="11" width="10.90625" style="5" bestFit="1" customWidth="1"/>
    <col min="12" max="16384" width="9.08984375" style="5"/>
  </cols>
  <sheetData>
    <row r="1" spans="1:11" ht="11.25" customHeight="1" x14ac:dyDescent="0.35">
      <c r="A1" s="2"/>
      <c r="B1" s="3"/>
      <c r="C1" s="83"/>
      <c r="D1" s="3"/>
      <c r="E1" s="3"/>
      <c r="F1" s="3"/>
      <c r="G1" s="3"/>
      <c r="H1" s="3"/>
      <c r="I1" s="4"/>
    </row>
    <row r="2" spans="1:11" ht="21" x14ac:dyDescent="0.5">
      <c r="A2" s="6"/>
      <c r="B2" s="7" t="s">
        <v>36</v>
      </c>
      <c r="C2" s="84"/>
      <c r="D2" s="8"/>
      <c r="E2" s="8"/>
      <c r="F2" s="8"/>
      <c r="G2" s="8"/>
      <c r="H2" s="8"/>
      <c r="I2" s="9"/>
    </row>
    <row r="3" spans="1:11" ht="11.25" customHeight="1" x14ac:dyDescent="0.5">
      <c r="A3" s="6"/>
      <c r="B3" s="43"/>
      <c r="C3" s="85"/>
      <c r="D3" s="44"/>
      <c r="E3" s="44"/>
      <c r="F3" s="44"/>
      <c r="G3" s="44"/>
      <c r="H3" s="44"/>
      <c r="I3" s="9"/>
    </row>
    <row r="4" spans="1:11" ht="11.25" customHeight="1" x14ac:dyDescent="0.5">
      <c r="A4" s="6"/>
      <c r="B4" s="7"/>
      <c r="C4" s="84"/>
      <c r="D4" s="8"/>
      <c r="E4" s="8"/>
      <c r="F4" s="8"/>
      <c r="G4" s="8"/>
      <c r="H4" s="8"/>
      <c r="I4" s="9"/>
    </row>
    <row r="5" spans="1:11" ht="20.25" customHeight="1" x14ac:dyDescent="0.5">
      <c r="A5" s="6"/>
      <c r="B5" s="7"/>
      <c r="C5" s="84"/>
      <c r="D5" s="63" t="s">
        <v>37</v>
      </c>
      <c r="E5" s="64"/>
      <c r="F5" s="64"/>
      <c r="G5" s="64"/>
      <c r="H5" s="65"/>
      <c r="I5" s="9"/>
    </row>
    <row r="6" spans="1:11" ht="28.5" customHeight="1" x14ac:dyDescent="0.35">
      <c r="A6" s="6"/>
      <c r="B6" s="10"/>
      <c r="C6" s="86" t="s">
        <v>24</v>
      </c>
      <c r="D6" s="41" t="s">
        <v>12</v>
      </c>
      <c r="E6" s="41" t="s">
        <v>17</v>
      </c>
      <c r="F6" s="41" t="s">
        <v>10</v>
      </c>
      <c r="G6" s="41" t="s">
        <v>32</v>
      </c>
      <c r="H6" s="41" t="s">
        <v>11</v>
      </c>
      <c r="I6" s="11"/>
    </row>
    <row r="7" spans="1:11" x14ac:dyDescent="0.35">
      <c r="A7" s="6"/>
      <c r="B7" s="12" t="s">
        <v>20</v>
      </c>
      <c r="C7" s="87">
        <v>0.02</v>
      </c>
      <c r="D7" s="99">
        <v>8000</v>
      </c>
      <c r="E7" s="99">
        <v>6000</v>
      </c>
      <c r="F7" s="99">
        <v>9000</v>
      </c>
      <c r="G7" s="99">
        <v>6000</v>
      </c>
      <c r="H7" s="100">
        <v>11000</v>
      </c>
      <c r="I7" s="9"/>
      <c r="K7" s="13"/>
    </row>
    <row r="8" spans="1:11" x14ac:dyDescent="0.35">
      <c r="A8" s="6"/>
      <c r="B8" s="14" t="s">
        <v>21</v>
      </c>
      <c r="C8" s="88">
        <v>1.4999999999999999E-2</v>
      </c>
      <c r="D8" s="101">
        <v>6000</v>
      </c>
      <c r="E8" s="101">
        <v>7500</v>
      </c>
      <c r="F8" s="101">
        <v>10000</v>
      </c>
      <c r="G8" s="101">
        <v>8000</v>
      </c>
      <c r="H8" s="101">
        <v>15000</v>
      </c>
      <c r="I8" s="9"/>
    </row>
    <row r="9" spans="1:11" x14ac:dyDescent="0.35">
      <c r="A9" s="6"/>
      <c r="B9" s="14" t="s">
        <v>22</v>
      </c>
      <c r="C9" s="88">
        <v>9.4999999999999998E-3</v>
      </c>
      <c r="D9" s="101">
        <v>7500</v>
      </c>
      <c r="E9" s="101">
        <v>8000</v>
      </c>
      <c r="F9" s="101">
        <v>15000</v>
      </c>
      <c r="G9" s="101">
        <v>12000</v>
      </c>
      <c r="H9" s="101">
        <v>11500</v>
      </c>
      <c r="I9" s="9"/>
    </row>
    <row r="10" spans="1:11" x14ac:dyDescent="0.35">
      <c r="A10" s="6"/>
      <c r="B10" s="14" t="s">
        <v>23</v>
      </c>
      <c r="C10" s="88">
        <v>7.4999999999999997E-3</v>
      </c>
      <c r="D10" s="101">
        <v>12000</v>
      </c>
      <c r="E10" s="101">
        <v>8500</v>
      </c>
      <c r="F10" s="101">
        <v>20000</v>
      </c>
      <c r="G10" s="101">
        <v>11000</v>
      </c>
      <c r="H10" s="101">
        <v>16000</v>
      </c>
      <c r="I10" s="9"/>
    </row>
    <row r="11" spans="1:11" ht="12.75" customHeight="1" thickBot="1" x14ac:dyDescent="0.4">
      <c r="A11" s="15"/>
      <c r="B11" s="16"/>
      <c r="C11" s="89"/>
      <c r="D11" s="17"/>
      <c r="E11" s="17"/>
      <c r="F11" s="17"/>
      <c r="G11" s="17"/>
      <c r="H11" s="17"/>
      <c r="I11" s="18"/>
    </row>
    <row r="12" spans="1:11" ht="12.75" customHeight="1" x14ac:dyDescent="0.35">
      <c r="D12" s="19"/>
      <c r="E12" s="19"/>
      <c r="F12" s="19"/>
      <c r="G12" s="19"/>
      <c r="H12" s="19"/>
      <c r="I12" s="19"/>
    </row>
    <row r="13" spans="1:11" ht="22.5" customHeight="1" x14ac:dyDescent="0.35">
      <c r="C13" s="66" t="s">
        <v>25</v>
      </c>
      <c r="D13" s="67"/>
      <c r="E13" s="67"/>
      <c r="F13" s="67"/>
      <c r="G13" s="68"/>
      <c r="H13" s="19"/>
      <c r="I13" s="19"/>
    </row>
    <row r="14" spans="1:11" ht="22.5" customHeight="1" x14ac:dyDescent="0.35">
      <c r="C14" s="91" t="s">
        <v>12</v>
      </c>
      <c r="D14" s="53" t="s">
        <v>17</v>
      </c>
      <c r="E14" s="58" t="s">
        <v>10</v>
      </c>
      <c r="F14" s="52" t="s">
        <v>32</v>
      </c>
      <c r="G14" s="59" t="s">
        <v>11</v>
      </c>
      <c r="H14" s="19"/>
      <c r="I14" s="19"/>
    </row>
    <row r="15" spans="1:11" ht="15" customHeight="1" x14ac:dyDescent="0.35">
      <c r="C15" s="97">
        <f>SUMPRODUCT($C$7:$C$10,D7:D10)</f>
        <v>411.25</v>
      </c>
      <c r="D15" s="97">
        <f t="shared" ref="D15:G15" si="0">SUMPRODUCT($C$7:$C$10,E7:E10)</f>
        <v>372.25</v>
      </c>
      <c r="E15" s="97">
        <f t="shared" si="0"/>
        <v>622.5</v>
      </c>
      <c r="F15" s="97">
        <f t="shared" si="0"/>
        <v>436.5</v>
      </c>
      <c r="G15" s="97">
        <f t="shared" si="0"/>
        <v>674.25</v>
      </c>
      <c r="H15" s="19"/>
      <c r="I15" s="19"/>
    </row>
    <row r="16" spans="1:11" ht="15" customHeight="1" x14ac:dyDescent="0.35">
      <c r="C16" s="92"/>
      <c r="D16" s="55"/>
      <c r="E16" s="55"/>
      <c r="F16" s="60"/>
      <c r="G16" s="54"/>
      <c r="H16" s="19"/>
      <c r="I16" s="19"/>
    </row>
    <row r="17" spans="3:9" ht="15" customHeight="1" x14ac:dyDescent="0.35">
      <c r="C17" s="93"/>
      <c r="D17" s="1"/>
      <c r="E17" s="1"/>
      <c r="F17" s="1"/>
      <c r="G17" s="1"/>
      <c r="H17" s="19"/>
      <c r="I17" s="19"/>
    </row>
    <row r="18" spans="3:9" ht="11.25" customHeight="1" thickBot="1" x14ac:dyDescent="0.4"/>
    <row r="19" spans="3:9" ht="15" thickTop="1" x14ac:dyDescent="0.35">
      <c r="C19" s="94"/>
      <c r="D19" s="20"/>
      <c r="E19" s="20"/>
      <c r="F19" s="21"/>
      <c r="G19" s="56"/>
    </row>
    <row r="20" spans="3:9" x14ac:dyDescent="0.35">
      <c r="C20" s="95"/>
      <c r="D20" s="22" t="s">
        <v>26</v>
      </c>
      <c r="E20" s="23"/>
      <c r="F20" s="24"/>
      <c r="G20" s="56"/>
    </row>
    <row r="21" spans="3:9" ht="9.75" customHeight="1" x14ac:dyDescent="0.35">
      <c r="C21" s="95"/>
      <c r="D21" s="22"/>
      <c r="E21" s="23"/>
      <c r="F21" s="24"/>
      <c r="G21" s="56"/>
    </row>
    <row r="22" spans="3:9" x14ac:dyDescent="0.35">
      <c r="C22" s="95"/>
      <c r="D22" s="12" t="s">
        <v>20</v>
      </c>
      <c r="E22" s="98">
        <f>SUM(D7:H7)*C7</f>
        <v>800</v>
      </c>
      <c r="F22" s="24"/>
      <c r="G22" s="56"/>
    </row>
    <row r="23" spans="3:9" x14ac:dyDescent="0.35">
      <c r="C23" s="95"/>
      <c r="D23" s="14" t="s">
        <v>21</v>
      </c>
      <c r="E23" s="98">
        <f t="shared" ref="E23:E25" si="1">SUM(D8:H8)*C8</f>
        <v>697.5</v>
      </c>
      <c r="F23" s="24"/>
      <c r="G23" s="56"/>
    </row>
    <row r="24" spans="3:9" x14ac:dyDescent="0.35">
      <c r="C24" s="95"/>
      <c r="D24" s="14" t="s">
        <v>22</v>
      </c>
      <c r="E24" s="98">
        <f t="shared" si="1"/>
        <v>513</v>
      </c>
      <c r="F24" s="24"/>
      <c r="G24" s="56"/>
    </row>
    <row r="25" spans="3:9" x14ac:dyDescent="0.35">
      <c r="C25" s="95"/>
      <c r="D25" s="14" t="s">
        <v>23</v>
      </c>
      <c r="E25" s="98">
        <f t="shared" si="1"/>
        <v>506.25</v>
      </c>
      <c r="F25" s="24"/>
      <c r="G25" s="56"/>
    </row>
    <row r="26" spans="3:9" ht="15" thickBot="1" x14ac:dyDescent="0.4">
      <c r="C26" s="95"/>
      <c r="D26" s="28"/>
      <c r="E26" s="27"/>
      <c r="F26" s="24"/>
      <c r="G26" s="56"/>
    </row>
    <row r="27" spans="3:9" ht="11.25" customHeight="1" thickTop="1" thickBot="1" x14ac:dyDescent="0.4">
      <c r="C27" s="96"/>
      <c r="D27" s="25"/>
      <c r="E27" s="25"/>
      <c r="F27" s="26"/>
      <c r="G27" s="57"/>
    </row>
    <row r="28" spans="3:9" ht="15" thickTop="1" x14ac:dyDescent="0.35"/>
  </sheetData>
  <mergeCells count="2">
    <mergeCell ref="D5:H5"/>
    <mergeCell ref="C13:G13"/>
  </mergeCells>
  <printOptions horizontalCentered="1"/>
  <pageMargins left="0.75" right="0.75" top="1" bottom="1" header="0.5" footer="0.5"/>
  <pageSetup orientation="landscape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7"/>
  <sheetViews>
    <sheetView workbookViewId="0">
      <selection activeCell="B2" sqref="B2:B6"/>
    </sheetView>
  </sheetViews>
  <sheetFormatPr defaultColWidth="9.08984375" defaultRowHeight="14.5" x14ac:dyDescent="0.35"/>
  <cols>
    <col min="1" max="1" width="10.6328125" style="29" bestFit="1" customWidth="1"/>
    <col min="2" max="2" width="8.453125" style="29" bestFit="1" customWidth="1"/>
    <col min="3" max="3" width="9.08984375" style="29" customWidth="1"/>
    <col min="4" max="7" width="9.08984375" style="29"/>
    <col min="8" max="9" width="9.08984375" style="29" customWidth="1"/>
    <col min="10" max="16384" width="9.08984375" style="29"/>
  </cols>
  <sheetData>
    <row r="1" spans="1:5" x14ac:dyDescent="0.35">
      <c r="A1" s="40" t="s">
        <v>14</v>
      </c>
      <c r="B1" s="40" t="s">
        <v>18</v>
      </c>
      <c r="C1" s="1"/>
      <c r="D1" s="1"/>
      <c r="E1" s="1"/>
    </row>
    <row r="2" spans="1:5" x14ac:dyDescent="0.35">
      <c r="A2" s="37" t="s">
        <v>12</v>
      </c>
      <c r="B2" s="30">
        <v>8.8999999999999996E-2</v>
      </c>
      <c r="C2" s="1"/>
      <c r="D2" s="1"/>
      <c r="E2" s="1"/>
    </row>
    <row r="3" spans="1:5" x14ac:dyDescent="0.35">
      <c r="A3" s="37" t="s">
        <v>17</v>
      </c>
      <c r="B3" s="30">
        <v>6.25E-2</v>
      </c>
      <c r="C3" s="1"/>
      <c r="D3" s="1"/>
      <c r="E3" s="1"/>
    </row>
    <row r="4" spans="1:5" x14ac:dyDescent="0.35">
      <c r="A4" s="37" t="s">
        <v>10</v>
      </c>
      <c r="B4" s="30">
        <v>0.10249999999999999</v>
      </c>
      <c r="C4" s="1"/>
      <c r="D4" s="1"/>
      <c r="E4" s="1"/>
    </row>
    <row r="5" spans="1:5" x14ac:dyDescent="0.35">
      <c r="A5" s="61" t="s">
        <v>32</v>
      </c>
      <c r="B5" s="62">
        <v>7.7499999999999999E-2</v>
      </c>
      <c r="C5" s="1"/>
      <c r="D5" s="1"/>
      <c r="E5" s="1"/>
    </row>
    <row r="6" spans="1:5" x14ac:dyDescent="0.35">
      <c r="A6" s="38" t="s">
        <v>11</v>
      </c>
      <c r="B6" s="39">
        <v>9.7500000000000003E-2</v>
      </c>
      <c r="C6" s="1"/>
      <c r="D6" s="1"/>
      <c r="E6" s="1"/>
    </row>
    <row r="7" spans="1:5" x14ac:dyDescent="0.35">
      <c r="A7" s="1"/>
      <c r="B7" s="1"/>
      <c r="C7" s="1"/>
      <c r="D7" s="1"/>
      <c r="E7" s="1"/>
    </row>
    <row r="8" spans="1:5" x14ac:dyDescent="0.35">
      <c r="A8" s="1"/>
      <c r="B8" s="1"/>
      <c r="C8" s="1"/>
      <c r="D8" s="1"/>
      <c r="E8" s="1"/>
    </row>
    <row r="9" spans="1:5" x14ac:dyDescent="0.35">
      <c r="A9" s="1"/>
      <c r="B9" s="1"/>
      <c r="C9" s="1"/>
      <c r="D9" s="1"/>
      <c r="E9" s="1"/>
    </row>
    <row r="10" spans="1:5" x14ac:dyDescent="0.35">
      <c r="A10" s="1"/>
      <c r="B10" s="1"/>
      <c r="C10" s="1"/>
      <c r="D10" s="1"/>
      <c r="E10" s="1"/>
    </row>
    <row r="11" spans="1:5" x14ac:dyDescent="0.35">
      <c r="A11" s="1"/>
      <c r="B11" s="1"/>
      <c r="C11" s="1"/>
      <c r="D11" s="1"/>
      <c r="E11" s="1"/>
    </row>
    <row r="12" spans="1:5" x14ac:dyDescent="0.35">
      <c r="A12" s="1"/>
      <c r="B12" s="1"/>
      <c r="C12" s="1"/>
      <c r="D12" s="1"/>
      <c r="E12" s="1"/>
    </row>
    <row r="13" spans="1:5" x14ac:dyDescent="0.35">
      <c r="A13" s="1"/>
      <c r="B13" s="1"/>
      <c r="C13" s="1"/>
      <c r="D13" s="1"/>
      <c r="E13" s="1"/>
    </row>
    <row r="14" spans="1:5" x14ac:dyDescent="0.35">
      <c r="A14" s="1"/>
      <c r="B14" s="1"/>
      <c r="C14" s="1"/>
      <c r="D14" s="1"/>
      <c r="E14" s="1"/>
    </row>
    <row r="15" spans="1:5" x14ac:dyDescent="0.35">
      <c r="A15" s="1"/>
      <c r="B15" s="1"/>
      <c r="C15" s="1"/>
      <c r="D15" s="1"/>
      <c r="E15" s="1"/>
    </row>
    <row r="16" spans="1:5" x14ac:dyDescent="0.35">
      <c r="A16" s="1"/>
      <c r="B16" s="1"/>
      <c r="C16" s="1"/>
      <c r="D16" s="1"/>
      <c r="E16" s="1"/>
    </row>
    <row r="17" spans="1:5" x14ac:dyDescent="0.35">
      <c r="A17" s="1"/>
      <c r="B17" s="1"/>
      <c r="C17" s="1"/>
      <c r="D17" s="1"/>
      <c r="E17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69E5A8-20F4-4E87-989D-37CE363BA2B1}">
  <dimension ref="A1:C76"/>
  <sheetViews>
    <sheetView workbookViewId="0">
      <selection activeCell="C59" sqref="C59"/>
    </sheetView>
  </sheetViews>
  <sheetFormatPr defaultRowHeight="14.5" x14ac:dyDescent="0.35"/>
  <cols>
    <col min="1" max="3" width="15.6328125" style="1" customWidth="1"/>
  </cols>
  <sheetData>
    <row r="1" spans="1:3" ht="18.5" x14ac:dyDescent="0.45">
      <c r="A1" s="70" t="s">
        <v>33</v>
      </c>
      <c r="B1" s="71"/>
      <c r="C1" s="71"/>
    </row>
    <row r="2" spans="1:3" ht="18.5" x14ac:dyDescent="0.45">
      <c r="A2" s="70" t="s">
        <v>28</v>
      </c>
      <c r="B2" s="71"/>
      <c r="C2" s="71"/>
    </row>
    <row r="3" spans="1:3" ht="18.5" x14ac:dyDescent="0.45">
      <c r="A3" s="70" t="s">
        <v>16</v>
      </c>
      <c r="B3" s="71"/>
      <c r="C3" s="71"/>
    </row>
    <row r="5" spans="1:3" x14ac:dyDescent="0.35">
      <c r="A5" s="1" t="s">
        <v>13</v>
      </c>
      <c r="B5" s="1" t="s">
        <v>14</v>
      </c>
      <c r="C5" s="1" t="s">
        <v>15</v>
      </c>
    </row>
    <row r="6" spans="1:3" hidden="1" x14ac:dyDescent="0.35">
      <c r="A6" s="1" t="s">
        <v>1</v>
      </c>
      <c r="B6" s="1" t="s">
        <v>12</v>
      </c>
      <c r="C6" s="1">
        <v>71</v>
      </c>
    </row>
    <row r="7" spans="1:3" hidden="1" x14ac:dyDescent="0.35">
      <c r="A7" s="1" t="s">
        <v>1</v>
      </c>
      <c r="B7" s="1" t="s">
        <v>17</v>
      </c>
      <c r="C7" s="1">
        <v>61</v>
      </c>
    </row>
    <row r="8" spans="1:3" hidden="1" x14ac:dyDescent="0.35">
      <c r="A8" s="1" t="s">
        <v>1</v>
      </c>
      <c r="B8" s="1" t="s">
        <v>10</v>
      </c>
      <c r="C8" s="1">
        <v>59</v>
      </c>
    </row>
    <row r="9" spans="1:3" hidden="1" x14ac:dyDescent="0.35">
      <c r="A9" s="1" t="s">
        <v>1</v>
      </c>
      <c r="B9" s="1" t="s">
        <v>32</v>
      </c>
      <c r="C9" s="1">
        <v>67</v>
      </c>
    </row>
    <row r="10" spans="1:3" hidden="1" x14ac:dyDescent="0.35">
      <c r="A10" s="1" t="s">
        <v>1</v>
      </c>
      <c r="B10" s="1" t="s">
        <v>11</v>
      </c>
      <c r="C10" s="1">
        <v>45</v>
      </c>
    </row>
    <row r="11" spans="1:3" hidden="1" x14ac:dyDescent="0.35">
      <c r="A11" s="1" t="s">
        <v>38</v>
      </c>
      <c r="B11" s="1" t="s">
        <v>12</v>
      </c>
      <c r="C11" s="1">
        <v>96</v>
      </c>
    </row>
    <row r="12" spans="1:3" hidden="1" x14ac:dyDescent="0.35">
      <c r="A12" s="1" t="s">
        <v>38</v>
      </c>
      <c r="B12" s="1" t="s">
        <v>17</v>
      </c>
      <c r="C12" s="1">
        <v>76</v>
      </c>
    </row>
    <row r="13" spans="1:3" hidden="1" x14ac:dyDescent="0.35">
      <c r="A13" s="1" t="s">
        <v>38</v>
      </c>
      <c r="B13" s="1" t="s">
        <v>10</v>
      </c>
      <c r="C13" s="1">
        <v>66</v>
      </c>
    </row>
    <row r="14" spans="1:3" hidden="1" x14ac:dyDescent="0.35">
      <c r="A14" s="1" t="s">
        <v>38</v>
      </c>
      <c r="B14" s="1" t="s">
        <v>32</v>
      </c>
      <c r="C14" s="1">
        <v>72</v>
      </c>
    </row>
    <row r="15" spans="1:3" hidden="1" x14ac:dyDescent="0.35">
      <c r="A15" s="1" t="s">
        <v>38</v>
      </c>
      <c r="B15" s="1" t="s">
        <v>11</v>
      </c>
      <c r="C15" s="1">
        <v>32</v>
      </c>
    </row>
    <row r="16" spans="1:3" hidden="1" x14ac:dyDescent="0.35">
      <c r="A16" s="1" t="s">
        <v>4</v>
      </c>
      <c r="B16" s="1" t="s">
        <v>12</v>
      </c>
      <c r="C16" s="1">
        <v>82</v>
      </c>
    </row>
    <row r="17" spans="1:3" hidden="1" x14ac:dyDescent="0.35">
      <c r="A17" s="1" t="s">
        <v>4</v>
      </c>
      <c r="B17" s="1" t="s">
        <v>17</v>
      </c>
      <c r="C17" s="1">
        <v>55</v>
      </c>
    </row>
    <row r="18" spans="1:3" hidden="1" x14ac:dyDescent="0.35">
      <c r="A18" s="1" t="s">
        <v>4</v>
      </c>
      <c r="B18" s="1" t="s">
        <v>10</v>
      </c>
      <c r="C18" s="1">
        <v>95</v>
      </c>
    </row>
    <row r="19" spans="1:3" hidden="1" x14ac:dyDescent="0.35">
      <c r="A19" s="1" t="s">
        <v>4</v>
      </c>
      <c r="B19" s="1" t="s">
        <v>32</v>
      </c>
      <c r="C19" s="1">
        <v>55</v>
      </c>
    </row>
    <row r="20" spans="1:3" hidden="1" x14ac:dyDescent="0.35">
      <c r="A20" s="1" t="s">
        <v>4</v>
      </c>
      <c r="B20" s="1" t="s">
        <v>11</v>
      </c>
      <c r="C20" s="1">
        <v>67</v>
      </c>
    </row>
    <row r="21" spans="1:3" x14ac:dyDescent="0.35">
      <c r="A21" s="1" t="s">
        <v>8</v>
      </c>
      <c r="B21" s="1" t="s">
        <v>12</v>
      </c>
      <c r="C21" s="1">
        <v>70</v>
      </c>
    </row>
    <row r="22" spans="1:3" x14ac:dyDescent="0.35">
      <c r="A22" s="1" t="s">
        <v>8</v>
      </c>
      <c r="B22" s="1" t="s">
        <v>17</v>
      </c>
      <c r="C22" s="1">
        <v>82</v>
      </c>
    </row>
    <row r="23" spans="1:3" x14ac:dyDescent="0.35">
      <c r="A23" s="1" t="s">
        <v>8</v>
      </c>
      <c r="B23" s="1" t="s">
        <v>10</v>
      </c>
      <c r="C23" s="1">
        <v>66</v>
      </c>
    </row>
    <row r="24" spans="1:3" x14ac:dyDescent="0.35">
      <c r="A24" s="1" t="s">
        <v>8</v>
      </c>
      <c r="B24" s="1" t="s">
        <v>32</v>
      </c>
      <c r="C24" s="1">
        <v>73</v>
      </c>
    </row>
    <row r="25" spans="1:3" x14ac:dyDescent="0.35">
      <c r="A25" s="1" t="s">
        <v>8</v>
      </c>
      <c r="B25" s="1" t="s">
        <v>11</v>
      </c>
      <c r="C25" s="1">
        <v>72</v>
      </c>
    </row>
    <row r="26" spans="1:3" hidden="1" x14ac:dyDescent="0.35">
      <c r="A26" s="1" t="s">
        <v>29</v>
      </c>
      <c r="B26" s="1" t="s">
        <v>12</v>
      </c>
      <c r="C26" s="1">
        <v>69</v>
      </c>
    </row>
    <row r="27" spans="1:3" hidden="1" x14ac:dyDescent="0.35">
      <c r="A27" s="1" t="s">
        <v>29</v>
      </c>
      <c r="B27" s="1" t="s">
        <v>17</v>
      </c>
      <c r="C27" s="1">
        <v>76</v>
      </c>
    </row>
    <row r="28" spans="1:3" hidden="1" x14ac:dyDescent="0.35">
      <c r="A28" s="1" t="s">
        <v>29</v>
      </c>
      <c r="B28" s="1" t="s">
        <v>10</v>
      </c>
      <c r="C28" s="1">
        <v>50</v>
      </c>
    </row>
    <row r="29" spans="1:3" hidden="1" x14ac:dyDescent="0.35">
      <c r="A29" s="1" t="s">
        <v>29</v>
      </c>
      <c r="B29" s="1" t="s">
        <v>32</v>
      </c>
      <c r="C29" s="1">
        <v>60</v>
      </c>
    </row>
    <row r="30" spans="1:3" hidden="1" x14ac:dyDescent="0.35">
      <c r="A30" s="1" t="s">
        <v>29</v>
      </c>
      <c r="B30" s="1" t="s">
        <v>11</v>
      </c>
      <c r="C30" s="1">
        <v>55</v>
      </c>
    </row>
    <row r="31" spans="1:3" hidden="1" x14ac:dyDescent="0.35">
      <c r="A31" s="1" t="s">
        <v>2</v>
      </c>
      <c r="B31" s="1" t="s">
        <v>12</v>
      </c>
      <c r="C31" s="1">
        <v>71</v>
      </c>
    </row>
    <row r="32" spans="1:3" hidden="1" x14ac:dyDescent="0.35">
      <c r="A32" s="1" t="s">
        <v>2</v>
      </c>
      <c r="B32" s="1" t="s">
        <v>17</v>
      </c>
      <c r="C32" s="1">
        <v>35</v>
      </c>
    </row>
    <row r="33" spans="1:3" hidden="1" x14ac:dyDescent="0.35">
      <c r="A33" s="1" t="s">
        <v>2</v>
      </c>
      <c r="B33" s="1" t="s">
        <v>10</v>
      </c>
      <c r="C33" s="1">
        <v>78</v>
      </c>
    </row>
    <row r="34" spans="1:3" hidden="1" x14ac:dyDescent="0.35">
      <c r="A34" s="1" t="s">
        <v>2</v>
      </c>
      <c r="B34" s="1" t="s">
        <v>32</v>
      </c>
      <c r="C34" s="1">
        <v>75</v>
      </c>
    </row>
    <row r="35" spans="1:3" hidden="1" x14ac:dyDescent="0.35">
      <c r="A35" s="1" t="s">
        <v>2</v>
      </c>
      <c r="B35" s="1" t="s">
        <v>11</v>
      </c>
      <c r="C35" s="1">
        <v>65</v>
      </c>
    </row>
    <row r="36" spans="1:3" x14ac:dyDescent="0.35">
      <c r="A36" s="1" t="s">
        <v>7</v>
      </c>
      <c r="B36" s="1" t="s">
        <v>12</v>
      </c>
      <c r="C36" s="1">
        <v>93</v>
      </c>
    </row>
    <row r="37" spans="1:3" x14ac:dyDescent="0.35">
      <c r="A37" s="1" t="s">
        <v>7</v>
      </c>
      <c r="B37" s="1" t="s">
        <v>17</v>
      </c>
      <c r="C37" s="1">
        <v>42</v>
      </c>
    </row>
    <row r="38" spans="1:3" x14ac:dyDescent="0.35">
      <c r="A38" s="1" t="s">
        <v>7</v>
      </c>
      <c r="B38" s="1" t="s">
        <v>10</v>
      </c>
      <c r="C38" s="1">
        <v>88</v>
      </c>
    </row>
    <row r="39" spans="1:3" x14ac:dyDescent="0.35">
      <c r="A39" s="1" t="s">
        <v>7</v>
      </c>
      <c r="B39" s="1" t="s">
        <v>32</v>
      </c>
      <c r="C39" s="1">
        <v>95</v>
      </c>
    </row>
    <row r="40" spans="1:3" x14ac:dyDescent="0.35">
      <c r="A40" s="1" t="s">
        <v>7</v>
      </c>
      <c r="B40" s="1" t="s">
        <v>11</v>
      </c>
      <c r="C40" s="1">
        <v>87</v>
      </c>
    </row>
    <row r="41" spans="1:3" hidden="1" x14ac:dyDescent="0.35">
      <c r="A41" s="1" t="s">
        <v>0</v>
      </c>
      <c r="B41" s="1" t="s">
        <v>12</v>
      </c>
      <c r="C41" s="1">
        <v>55</v>
      </c>
    </row>
    <row r="42" spans="1:3" hidden="1" x14ac:dyDescent="0.35">
      <c r="A42" s="1" t="s">
        <v>0</v>
      </c>
      <c r="B42" s="1" t="s">
        <v>17</v>
      </c>
      <c r="C42" s="1">
        <v>65</v>
      </c>
    </row>
    <row r="43" spans="1:3" hidden="1" x14ac:dyDescent="0.35">
      <c r="A43" s="1" t="s">
        <v>0</v>
      </c>
      <c r="B43" s="1" t="s">
        <v>10</v>
      </c>
      <c r="C43" s="1">
        <v>82</v>
      </c>
    </row>
    <row r="44" spans="1:3" hidden="1" x14ac:dyDescent="0.35">
      <c r="A44" s="1" t="s">
        <v>0</v>
      </c>
      <c r="B44" s="1" t="s">
        <v>32</v>
      </c>
      <c r="C44" s="1">
        <v>89</v>
      </c>
    </row>
    <row r="45" spans="1:3" hidden="1" x14ac:dyDescent="0.35">
      <c r="A45" s="1" t="s">
        <v>0</v>
      </c>
      <c r="B45" s="1" t="s">
        <v>11</v>
      </c>
      <c r="C45" s="1">
        <v>89</v>
      </c>
    </row>
    <row r="46" spans="1:3" hidden="1" x14ac:dyDescent="0.35">
      <c r="A46" s="1" t="s">
        <v>30</v>
      </c>
      <c r="B46" s="1" t="s">
        <v>12</v>
      </c>
      <c r="C46" s="1">
        <v>52</v>
      </c>
    </row>
    <row r="47" spans="1:3" hidden="1" x14ac:dyDescent="0.35">
      <c r="A47" s="1" t="s">
        <v>30</v>
      </c>
      <c r="B47" s="1" t="s">
        <v>17</v>
      </c>
      <c r="C47" s="1">
        <v>32</v>
      </c>
    </row>
    <row r="48" spans="1:3" hidden="1" x14ac:dyDescent="0.35">
      <c r="A48" s="1" t="s">
        <v>30</v>
      </c>
      <c r="B48" s="1" t="s">
        <v>10</v>
      </c>
      <c r="C48" s="1">
        <v>57</v>
      </c>
    </row>
    <row r="49" spans="1:3" hidden="1" x14ac:dyDescent="0.35">
      <c r="A49" s="1" t="s">
        <v>30</v>
      </c>
      <c r="B49" s="1" t="s">
        <v>32</v>
      </c>
      <c r="C49" s="1">
        <v>85</v>
      </c>
    </row>
    <row r="50" spans="1:3" hidden="1" x14ac:dyDescent="0.35">
      <c r="A50" s="1" t="s">
        <v>30</v>
      </c>
      <c r="B50" s="1" t="s">
        <v>11</v>
      </c>
      <c r="C50" s="1">
        <v>65</v>
      </c>
    </row>
    <row r="51" spans="1:3" hidden="1" x14ac:dyDescent="0.35">
      <c r="A51" s="1" t="s">
        <v>5</v>
      </c>
      <c r="B51" s="1" t="s">
        <v>12</v>
      </c>
      <c r="C51" s="1">
        <v>79</v>
      </c>
    </row>
    <row r="52" spans="1:3" hidden="1" x14ac:dyDescent="0.35">
      <c r="A52" s="1" t="s">
        <v>5</v>
      </c>
      <c r="B52" s="1" t="s">
        <v>17</v>
      </c>
      <c r="C52" s="1">
        <v>55</v>
      </c>
    </row>
    <row r="53" spans="1:3" hidden="1" x14ac:dyDescent="0.35">
      <c r="A53" s="1" t="s">
        <v>5</v>
      </c>
      <c r="B53" s="1" t="s">
        <v>10</v>
      </c>
      <c r="C53" s="1">
        <v>69</v>
      </c>
    </row>
    <row r="54" spans="1:3" hidden="1" x14ac:dyDescent="0.35">
      <c r="A54" s="1" t="s">
        <v>5</v>
      </c>
      <c r="B54" s="1" t="s">
        <v>32</v>
      </c>
      <c r="C54" s="1">
        <v>93</v>
      </c>
    </row>
    <row r="55" spans="1:3" hidden="1" x14ac:dyDescent="0.35">
      <c r="A55" s="1" t="s">
        <v>5</v>
      </c>
      <c r="B55" s="1" t="s">
        <v>11</v>
      </c>
      <c r="C55" s="1">
        <v>89</v>
      </c>
    </row>
    <row r="56" spans="1:3" hidden="1" x14ac:dyDescent="0.35">
      <c r="A56" s="1" t="s">
        <v>6</v>
      </c>
      <c r="B56" s="1" t="s">
        <v>12</v>
      </c>
      <c r="C56" s="1">
        <v>72</v>
      </c>
    </row>
    <row r="57" spans="1:3" hidden="1" x14ac:dyDescent="0.35">
      <c r="A57" s="1" t="s">
        <v>6</v>
      </c>
      <c r="B57" s="1" t="s">
        <v>17</v>
      </c>
      <c r="C57" s="1">
        <v>26</v>
      </c>
    </row>
    <row r="58" spans="1:3" hidden="1" x14ac:dyDescent="0.35">
      <c r="A58" s="1" t="s">
        <v>6</v>
      </c>
      <c r="B58" s="1" t="s">
        <v>10</v>
      </c>
      <c r="C58" s="1">
        <v>80</v>
      </c>
    </row>
    <row r="59" spans="1:3" hidden="1" x14ac:dyDescent="0.35">
      <c r="A59" s="1" t="s">
        <v>6</v>
      </c>
      <c r="B59" s="1" t="s">
        <v>32</v>
      </c>
      <c r="C59" s="1">
        <v>59</v>
      </c>
    </row>
    <row r="60" spans="1:3" hidden="1" x14ac:dyDescent="0.35">
      <c r="A60" s="1" t="s">
        <v>6</v>
      </c>
      <c r="B60" s="1" t="s">
        <v>11</v>
      </c>
      <c r="C60" s="1">
        <v>24</v>
      </c>
    </row>
    <row r="61" spans="1:3" hidden="1" x14ac:dyDescent="0.35">
      <c r="A61" s="1" t="s">
        <v>9</v>
      </c>
      <c r="B61" s="1" t="s">
        <v>12</v>
      </c>
      <c r="C61" s="1">
        <v>65</v>
      </c>
    </row>
    <row r="62" spans="1:3" hidden="1" x14ac:dyDescent="0.35">
      <c r="A62" s="1" t="s">
        <v>9</v>
      </c>
      <c r="B62" s="1" t="s">
        <v>17</v>
      </c>
      <c r="C62" s="1">
        <v>46</v>
      </c>
    </row>
    <row r="63" spans="1:3" hidden="1" x14ac:dyDescent="0.35">
      <c r="A63" s="1" t="s">
        <v>9</v>
      </c>
      <c r="B63" s="1" t="s">
        <v>10</v>
      </c>
      <c r="C63" s="1">
        <v>94</v>
      </c>
    </row>
    <row r="64" spans="1:3" hidden="1" x14ac:dyDescent="0.35">
      <c r="A64" s="1" t="s">
        <v>9</v>
      </c>
      <c r="B64" s="1" t="s">
        <v>32</v>
      </c>
      <c r="C64" s="1">
        <v>83</v>
      </c>
    </row>
    <row r="65" spans="1:3" hidden="1" x14ac:dyDescent="0.35">
      <c r="A65" s="1" t="s">
        <v>9</v>
      </c>
      <c r="B65" s="1" t="s">
        <v>11</v>
      </c>
      <c r="C65" s="1">
        <v>83</v>
      </c>
    </row>
    <row r="66" spans="1:3" hidden="1" x14ac:dyDescent="0.35">
      <c r="A66" s="1" t="s">
        <v>3</v>
      </c>
      <c r="B66" s="1" t="s">
        <v>12</v>
      </c>
      <c r="C66" s="1">
        <v>95</v>
      </c>
    </row>
    <row r="67" spans="1:3" hidden="1" x14ac:dyDescent="0.35">
      <c r="A67" s="1" t="s">
        <v>3</v>
      </c>
      <c r="B67" s="1" t="s">
        <v>17</v>
      </c>
      <c r="C67" s="1">
        <v>76</v>
      </c>
    </row>
    <row r="68" spans="1:3" hidden="1" x14ac:dyDescent="0.35">
      <c r="A68" s="1" t="s">
        <v>3</v>
      </c>
      <c r="B68" s="1" t="s">
        <v>10</v>
      </c>
      <c r="C68" s="1">
        <v>90</v>
      </c>
    </row>
    <row r="69" spans="1:3" hidden="1" x14ac:dyDescent="0.35">
      <c r="A69" s="1" t="s">
        <v>3</v>
      </c>
      <c r="B69" s="1" t="s">
        <v>32</v>
      </c>
      <c r="C69" s="1">
        <v>100</v>
      </c>
    </row>
    <row r="70" spans="1:3" hidden="1" x14ac:dyDescent="0.35">
      <c r="A70" s="1" t="s">
        <v>3</v>
      </c>
      <c r="B70" s="1" t="s">
        <v>11</v>
      </c>
      <c r="C70" s="1">
        <v>45</v>
      </c>
    </row>
    <row r="71" spans="1:3" hidden="1" x14ac:dyDescent="0.35">
      <c r="A71" s="1" t="s">
        <v>31</v>
      </c>
      <c r="B71" s="1" t="s">
        <v>12</v>
      </c>
      <c r="C71" s="1">
        <v>21</v>
      </c>
    </row>
    <row r="72" spans="1:3" hidden="1" x14ac:dyDescent="0.35">
      <c r="A72" s="1" t="s">
        <v>31</v>
      </c>
      <c r="B72" s="1" t="s">
        <v>17</v>
      </c>
      <c r="C72" s="1">
        <v>82</v>
      </c>
    </row>
    <row r="73" spans="1:3" hidden="1" x14ac:dyDescent="0.35">
      <c r="A73" s="1" t="s">
        <v>31</v>
      </c>
      <c r="B73" s="1" t="s">
        <v>10</v>
      </c>
      <c r="C73" s="1">
        <v>45</v>
      </c>
    </row>
    <row r="74" spans="1:3" hidden="1" x14ac:dyDescent="0.35">
      <c r="A74" s="1" t="s">
        <v>31</v>
      </c>
      <c r="B74" s="1" t="s">
        <v>32</v>
      </c>
      <c r="C74" s="1">
        <v>83</v>
      </c>
    </row>
    <row r="75" spans="1:3" hidden="1" x14ac:dyDescent="0.35">
      <c r="A75" s="1" t="s">
        <v>31</v>
      </c>
      <c r="B75" s="1" t="s">
        <v>11</v>
      </c>
      <c r="C75" s="1">
        <v>32</v>
      </c>
    </row>
    <row r="76" spans="1:3" x14ac:dyDescent="0.35">
      <c r="A76" s="72" t="s">
        <v>39</v>
      </c>
      <c r="B76" s="72"/>
      <c r="C76" s="72">
        <f>SUBTOTAL(109,Table24[Transactions])</f>
        <v>768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EB6034-AB1F-4723-8887-141BB64B003E}">
  <dimension ref="A1:D75"/>
  <sheetViews>
    <sheetView workbookViewId="0">
      <selection activeCell="A5" sqref="A5"/>
    </sheetView>
  </sheetViews>
  <sheetFormatPr defaultRowHeight="14.5" x14ac:dyDescent="0.35"/>
  <cols>
    <col min="1" max="2" width="15.6328125" style="1" customWidth="1"/>
    <col min="4" max="4" width="15.6328125" style="1" customWidth="1"/>
  </cols>
  <sheetData>
    <row r="1" spans="1:4" ht="18.5" x14ac:dyDescent="0.45">
      <c r="A1" s="70" t="s">
        <v>33</v>
      </c>
      <c r="B1" s="71"/>
      <c r="C1" s="71"/>
      <c r="D1"/>
    </row>
    <row r="2" spans="1:4" ht="18.5" x14ac:dyDescent="0.45">
      <c r="A2" s="70" t="s">
        <v>28</v>
      </c>
      <c r="B2" s="71"/>
      <c r="C2" s="71"/>
      <c r="D2"/>
    </row>
    <row r="3" spans="1:4" ht="18.5" x14ac:dyDescent="0.45">
      <c r="A3" s="70" t="s">
        <v>16</v>
      </c>
      <c r="B3" s="71"/>
      <c r="C3" s="71"/>
      <c r="D3"/>
    </row>
    <row r="4" spans="1:4" x14ac:dyDescent="0.35">
      <c r="C4" s="1"/>
      <c r="D4"/>
    </row>
    <row r="5" spans="1:4" x14ac:dyDescent="0.35">
      <c r="A5" s="1" t="s">
        <v>14</v>
      </c>
      <c r="B5" s="1" t="s">
        <v>13</v>
      </c>
      <c r="C5" s="1" t="s">
        <v>15</v>
      </c>
      <c r="D5"/>
    </row>
    <row r="6" spans="1:4" hidden="1" x14ac:dyDescent="0.35">
      <c r="A6" s="1" t="s">
        <v>12</v>
      </c>
      <c r="B6" s="1" t="s">
        <v>1</v>
      </c>
      <c r="C6" s="1">
        <v>71</v>
      </c>
      <c r="D6"/>
    </row>
    <row r="7" spans="1:4" x14ac:dyDescent="0.35">
      <c r="A7" s="1" t="s">
        <v>12</v>
      </c>
      <c r="B7" s="1" t="s">
        <v>38</v>
      </c>
      <c r="C7" s="1">
        <v>96</v>
      </c>
      <c r="D7"/>
    </row>
    <row r="8" spans="1:4" x14ac:dyDescent="0.35">
      <c r="A8" s="1" t="s">
        <v>12</v>
      </c>
      <c r="B8" s="1" t="s">
        <v>4</v>
      </c>
      <c r="C8" s="1">
        <v>82</v>
      </c>
      <c r="D8"/>
    </row>
    <row r="9" spans="1:4" x14ac:dyDescent="0.35">
      <c r="A9" s="1" t="s">
        <v>12</v>
      </c>
      <c r="B9" s="1" t="s">
        <v>8</v>
      </c>
      <c r="C9" s="1">
        <v>70</v>
      </c>
      <c r="D9"/>
    </row>
    <row r="10" spans="1:4" x14ac:dyDescent="0.35">
      <c r="A10" s="1" t="s">
        <v>12</v>
      </c>
      <c r="B10" s="1" t="s">
        <v>29</v>
      </c>
      <c r="C10" s="1">
        <v>69</v>
      </c>
      <c r="D10"/>
    </row>
    <row r="11" spans="1:4" hidden="1" x14ac:dyDescent="0.35">
      <c r="A11" s="1" t="s">
        <v>12</v>
      </c>
      <c r="B11" s="1" t="s">
        <v>2</v>
      </c>
      <c r="C11" s="1">
        <v>71</v>
      </c>
      <c r="D11"/>
    </row>
    <row r="12" spans="1:4" x14ac:dyDescent="0.35">
      <c r="A12" s="1" t="s">
        <v>12</v>
      </c>
      <c r="B12" s="1" t="s">
        <v>7</v>
      </c>
      <c r="C12" s="1">
        <v>93</v>
      </c>
      <c r="D12"/>
    </row>
    <row r="13" spans="1:4" x14ac:dyDescent="0.35">
      <c r="A13" s="1" t="s">
        <v>12</v>
      </c>
      <c r="B13" s="1" t="s">
        <v>0</v>
      </c>
      <c r="C13" s="1">
        <v>55</v>
      </c>
      <c r="D13"/>
    </row>
    <row r="14" spans="1:4" x14ac:dyDescent="0.35">
      <c r="A14" s="1" t="s">
        <v>12</v>
      </c>
      <c r="B14" s="1" t="s">
        <v>30</v>
      </c>
      <c r="C14" s="1">
        <v>52</v>
      </c>
      <c r="D14"/>
    </row>
    <row r="15" spans="1:4" x14ac:dyDescent="0.35">
      <c r="A15" s="1" t="s">
        <v>12</v>
      </c>
      <c r="B15" s="1" t="s">
        <v>5</v>
      </c>
      <c r="C15" s="1">
        <v>79</v>
      </c>
      <c r="D15"/>
    </row>
    <row r="16" spans="1:4" x14ac:dyDescent="0.35">
      <c r="A16" s="1" t="s">
        <v>12</v>
      </c>
      <c r="B16" s="1" t="s">
        <v>6</v>
      </c>
      <c r="C16" s="1">
        <v>72</v>
      </c>
      <c r="D16"/>
    </row>
    <row r="17" spans="1:4" x14ac:dyDescent="0.35">
      <c r="A17" s="1" t="s">
        <v>12</v>
      </c>
      <c r="B17" s="1" t="s">
        <v>9</v>
      </c>
      <c r="C17" s="1">
        <v>65</v>
      </c>
      <c r="D17"/>
    </row>
    <row r="18" spans="1:4" hidden="1" x14ac:dyDescent="0.35">
      <c r="A18" s="1" t="s">
        <v>12</v>
      </c>
      <c r="B18" s="1" t="s">
        <v>3</v>
      </c>
      <c r="C18" s="1">
        <v>95</v>
      </c>
      <c r="D18"/>
    </row>
    <row r="19" spans="1:4" x14ac:dyDescent="0.35">
      <c r="A19" s="1" t="s">
        <v>12</v>
      </c>
      <c r="B19" s="1" t="s">
        <v>31</v>
      </c>
      <c r="C19" s="1">
        <v>21</v>
      </c>
      <c r="D19"/>
    </row>
    <row r="20" spans="1:4" hidden="1" x14ac:dyDescent="0.35">
      <c r="A20" s="1" t="s">
        <v>17</v>
      </c>
      <c r="B20" s="1" t="s">
        <v>1</v>
      </c>
      <c r="C20" s="1">
        <v>61</v>
      </c>
      <c r="D20"/>
    </row>
    <row r="21" spans="1:4" x14ac:dyDescent="0.35">
      <c r="A21" s="1" t="s">
        <v>17</v>
      </c>
      <c r="B21" s="1" t="s">
        <v>38</v>
      </c>
      <c r="C21" s="1">
        <v>76</v>
      </c>
      <c r="D21"/>
    </row>
    <row r="22" spans="1:4" x14ac:dyDescent="0.35">
      <c r="A22" s="1" t="s">
        <v>17</v>
      </c>
      <c r="B22" s="1" t="s">
        <v>4</v>
      </c>
      <c r="C22" s="1">
        <v>55</v>
      </c>
      <c r="D22"/>
    </row>
    <row r="23" spans="1:4" x14ac:dyDescent="0.35">
      <c r="A23" s="1" t="s">
        <v>17</v>
      </c>
      <c r="B23" s="1" t="s">
        <v>8</v>
      </c>
      <c r="C23" s="1">
        <v>82</v>
      </c>
      <c r="D23"/>
    </row>
    <row r="24" spans="1:4" x14ac:dyDescent="0.35">
      <c r="A24" s="1" t="s">
        <v>17</v>
      </c>
      <c r="B24" s="1" t="s">
        <v>29</v>
      </c>
      <c r="C24" s="1">
        <v>76</v>
      </c>
      <c r="D24"/>
    </row>
    <row r="25" spans="1:4" hidden="1" x14ac:dyDescent="0.35">
      <c r="A25" s="1" t="s">
        <v>17</v>
      </c>
      <c r="B25" s="1" t="s">
        <v>2</v>
      </c>
      <c r="C25" s="1">
        <v>35</v>
      </c>
      <c r="D25"/>
    </row>
    <row r="26" spans="1:4" x14ac:dyDescent="0.35">
      <c r="A26" s="1" t="s">
        <v>17</v>
      </c>
      <c r="B26" s="1" t="s">
        <v>7</v>
      </c>
      <c r="C26" s="1">
        <v>42</v>
      </c>
      <c r="D26"/>
    </row>
    <row r="27" spans="1:4" x14ac:dyDescent="0.35">
      <c r="A27" s="1" t="s">
        <v>17</v>
      </c>
      <c r="B27" s="1" t="s">
        <v>0</v>
      </c>
      <c r="C27" s="1">
        <v>65</v>
      </c>
      <c r="D27"/>
    </row>
    <row r="28" spans="1:4" x14ac:dyDescent="0.35">
      <c r="A28" s="1" t="s">
        <v>17</v>
      </c>
      <c r="B28" s="1" t="s">
        <v>30</v>
      </c>
      <c r="C28" s="1">
        <v>32</v>
      </c>
      <c r="D28"/>
    </row>
    <row r="29" spans="1:4" x14ac:dyDescent="0.35">
      <c r="A29" s="1" t="s">
        <v>17</v>
      </c>
      <c r="B29" s="1" t="s">
        <v>5</v>
      </c>
      <c r="C29" s="1">
        <v>55</v>
      </c>
      <c r="D29"/>
    </row>
    <row r="30" spans="1:4" x14ac:dyDescent="0.35">
      <c r="A30" s="1" t="s">
        <v>17</v>
      </c>
      <c r="B30" s="1" t="s">
        <v>6</v>
      </c>
      <c r="C30" s="1">
        <v>26</v>
      </c>
      <c r="D30"/>
    </row>
    <row r="31" spans="1:4" x14ac:dyDescent="0.35">
      <c r="A31" s="1" t="s">
        <v>17</v>
      </c>
      <c r="B31" s="1" t="s">
        <v>9</v>
      </c>
      <c r="C31" s="1">
        <v>46</v>
      </c>
      <c r="D31"/>
    </row>
    <row r="32" spans="1:4" hidden="1" x14ac:dyDescent="0.35">
      <c r="A32" s="1" t="s">
        <v>17</v>
      </c>
      <c r="B32" s="1" t="s">
        <v>3</v>
      </c>
      <c r="C32" s="1">
        <v>76</v>
      </c>
      <c r="D32"/>
    </row>
    <row r="33" spans="1:4" x14ac:dyDescent="0.35">
      <c r="A33" s="1" t="s">
        <v>17</v>
      </c>
      <c r="B33" s="1" t="s">
        <v>31</v>
      </c>
      <c r="C33" s="1">
        <v>82</v>
      </c>
      <c r="D33"/>
    </row>
    <row r="34" spans="1:4" hidden="1" x14ac:dyDescent="0.35">
      <c r="A34" s="1" t="s">
        <v>10</v>
      </c>
      <c r="B34" s="1" t="s">
        <v>1</v>
      </c>
      <c r="C34" s="1">
        <v>59</v>
      </c>
      <c r="D34"/>
    </row>
    <row r="35" spans="1:4" x14ac:dyDescent="0.35">
      <c r="A35" s="1" t="s">
        <v>10</v>
      </c>
      <c r="B35" s="1" t="s">
        <v>38</v>
      </c>
      <c r="C35" s="1">
        <v>66</v>
      </c>
      <c r="D35"/>
    </row>
    <row r="36" spans="1:4" x14ac:dyDescent="0.35">
      <c r="A36" s="1" t="s">
        <v>10</v>
      </c>
      <c r="B36" s="1" t="s">
        <v>4</v>
      </c>
      <c r="C36" s="1">
        <v>95</v>
      </c>
      <c r="D36"/>
    </row>
    <row r="37" spans="1:4" x14ac:dyDescent="0.35">
      <c r="A37" s="1" t="s">
        <v>10</v>
      </c>
      <c r="B37" s="1" t="s">
        <v>8</v>
      </c>
      <c r="C37" s="1">
        <v>66</v>
      </c>
      <c r="D37"/>
    </row>
    <row r="38" spans="1:4" x14ac:dyDescent="0.35">
      <c r="A38" s="1" t="s">
        <v>10</v>
      </c>
      <c r="B38" s="1" t="s">
        <v>29</v>
      </c>
      <c r="C38" s="1">
        <v>50</v>
      </c>
      <c r="D38"/>
    </row>
    <row r="39" spans="1:4" hidden="1" x14ac:dyDescent="0.35">
      <c r="A39" s="1" t="s">
        <v>10</v>
      </c>
      <c r="B39" s="1" t="s">
        <v>2</v>
      </c>
      <c r="C39" s="1">
        <v>78</v>
      </c>
      <c r="D39"/>
    </row>
    <row r="40" spans="1:4" x14ac:dyDescent="0.35">
      <c r="A40" s="1" t="s">
        <v>10</v>
      </c>
      <c r="B40" s="1" t="s">
        <v>7</v>
      </c>
      <c r="C40" s="1">
        <v>88</v>
      </c>
      <c r="D40"/>
    </row>
    <row r="41" spans="1:4" x14ac:dyDescent="0.35">
      <c r="A41" s="1" t="s">
        <v>10</v>
      </c>
      <c r="B41" s="1" t="s">
        <v>0</v>
      </c>
      <c r="C41" s="1">
        <v>82</v>
      </c>
      <c r="D41"/>
    </row>
    <row r="42" spans="1:4" x14ac:dyDescent="0.35">
      <c r="A42" s="1" t="s">
        <v>10</v>
      </c>
      <c r="B42" s="1" t="s">
        <v>30</v>
      </c>
      <c r="C42" s="1">
        <v>57</v>
      </c>
      <c r="D42"/>
    </row>
    <row r="43" spans="1:4" x14ac:dyDescent="0.35">
      <c r="A43" s="1" t="s">
        <v>10</v>
      </c>
      <c r="B43" s="1" t="s">
        <v>5</v>
      </c>
      <c r="C43" s="1">
        <v>69</v>
      </c>
      <c r="D43"/>
    </row>
    <row r="44" spans="1:4" x14ac:dyDescent="0.35">
      <c r="A44" s="1" t="s">
        <v>10</v>
      </c>
      <c r="B44" s="1" t="s">
        <v>6</v>
      </c>
      <c r="C44" s="1">
        <v>80</v>
      </c>
      <c r="D44"/>
    </row>
    <row r="45" spans="1:4" x14ac:dyDescent="0.35">
      <c r="A45" s="1" t="s">
        <v>10</v>
      </c>
      <c r="B45" s="1" t="s">
        <v>9</v>
      </c>
      <c r="C45" s="1">
        <v>94</v>
      </c>
      <c r="D45"/>
    </row>
    <row r="46" spans="1:4" hidden="1" x14ac:dyDescent="0.35">
      <c r="A46" s="1" t="s">
        <v>10</v>
      </c>
      <c r="B46" s="1" t="s">
        <v>3</v>
      </c>
      <c r="C46" s="1">
        <v>90</v>
      </c>
      <c r="D46"/>
    </row>
    <row r="47" spans="1:4" x14ac:dyDescent="0.35">
      <c r="A47" s="1" t="s">
        <v>10</v>
      </c>
      <c r="B47" s="1" t="s">
        <v>31</v>
      </c>
      <c r="C47" s="1">
        <v>45</v>
      </c>
      <c r="D47"/>
    </row>
    <row r="48" spans="1:4" hidden="1" x14ac:dyDescent="0.35">
      <c r="A48" s="1" t="s">
        <v>32</v>
      </c>
      <c r="B48" s="1" t="s">
        <v>1</v>
      </c>
      <c r="C48" s="1">
        <v>67</v>
      </c>
      <c r="D48"/>
    </row>
    <row r="49" spans="1:4" x14ac:dyDescent="0.35">
      <c r="A49" s="1" t="s">
        <v>32</v>
      </c>
      <c r="B49" s="1" t="s">
        <v>38</v>
      </c>
      <c r="C49" s="1">
        <v>72</v>
      </c>
      <c r="D49"/>
    </row>
    <row r="50" spans="1:4" x14ac:dyDescent="0.35">
      <c r="A50" s="1" t="s">
        <v>32</v>
      </c>
      <c r="B50" s="1" t="s">
        <v>4</v>
      </c>
      <c r="C50" s="1">
        <v>55</v>
      </c>
      <c r="D50"/>
    </row>
    <row r="51" spans="1:4" x14ac:dyDescent="0.35">
      <c r="A51" s="1" t="s">
        <v>32</v>
      </c>
      <c r="B51" s="1" t="s">
        <v>8</v>
      </c>
      <c r="C51" s="1">
        <v>73</v>
      </c>
      <c r="D51"/>
    </row>
    <row r="52" spans="1:4" x14ac:dyDescent="0.35">
      <c r="A52" s="1" t="s">
        <v>32</v>
      </c>
      <c r="B52" s="1" t="s">
        <v>29</v>
      </c>
      <c r="C52" s="1">
        <v>60</v>
      </c>
      <c r="D52"/>
    </row>
    <row r="53" spans="1:4" hidden="1" x14ac:dyDescent="0.35">
      <c r="A53" s="1" t="s">
        <v>32</v>
      </c>
      <c r="B53" s="1" t="s">
        <v>2</v>
      </c>
      <c r="C53" s="1">
        <v>75</v>
      </c>
      <c r="D53"/>
    </row>
    <row r="54" spans="1:4" x14ac:dyDescent="0.35">
      <c r="A54" s="1" t="s">
        <v>32</v>
      </c>
      <c r="B54" s="1" t="s">
        <v>7</v>
      </c>
      <c r="C54" s="1">
        <v>95</v>
      </c>
      <c r="D54"/>
    </row>
    <row r="55" spans="1:4" x14ac:dyDescent="0.35">
      <c r="A55" s="1" t="s">
        <v>32</v>
      </c>
      <c r="B55" s="1" t="s">
        <v>0</v>
      </c>
      <c r="C55" s="1">
        <v>89</v>
      </c>
      <c r="D55"/>
    </row>
    <row r="56" spans="1:4" x14ac:dyDescent="0.35">
      <c r="A56" s="1" t="s">
        <v>32</v>
      </c>
      <c r="B56" s="1" t="s">
        <v>30</v>
      </c>
      <c r="C56" s="1">
        <v>85</v>
      </c>
      <c r="D56"/>
    </row>
    <row r="57" spans="1:4" x14ac:dyDescent="0.35">
      <c r="A57" s="1" t="s">
        <v>32</v>
      </c>
      <c r="B57" s="1" t="s">
        <v>5</v>
      </c>
      <c r="C57" s="1">
        <v>93</v>
      </c>
      <c r="D57"/>
    </row>
    <row r="58" spans="1:4" x14ac:dyDescent="0.35">
      <c r="A58" s="1" t="s">
        <v>32</v>
      </c>
      <c r="B58" s="1" t="s">
        <v>6</v>
      </c>
      <c r="C58" s="1">
        <v>59</v>
      </c>
      <c r="D58"/>
    </row>
    <row r="59" spans="1:4" x14ac:dyDescent="0.35">
      <c r="A59" s="1" t="s">
        <v>32</v>
      </c>
      <c r="B59" s="1" t="s">
        <v>9</v>
      </c>
      <c r="C59" s="1">
        <v>83</v>
      </c>
      <c r="D59"/>
    </row>
    <row r="60" spans="1:4" hidden="1" x14ac:dyDescent="0.35">
      <c r="A60" s="1" t="s">
        <v>32</v>
      </c>
      <c r="B60" s="1" t="s">
        <v>3</v>
      </c>
      <c r="C60" s="1">
        <v>100</v>
      </c>
      <c r="D60"/>
    </row>
    <row r="61" spans="1:4" x14ac:dyDescent="0.35">
      <c r="A61" s="1" t="s">
        <v>32</v>
      </c>
      <c r="B61" s="1" t="s">
        <v>31</v>
      </c>
      <c r="C61" s="1">
        <v>83</v>
      </c>
      <c r="D61"/>
    </row>
    <row r="62" spans="1:4" hidden="1" x14ac:dyDescent="0.35">
      <c r="A62" s="1" t="s">
        <v>11</v>
      </c>
      <c r="B62" s="1" t="s">
        <v>1</v>
      </c>
      <c r="C62" s="1">
        <v>45</v>
      </c>
      <c r="D62"/>
    </row>
    <row r="63" spans="1:4" x14ac:dyDescent="0.35">
      <c r="A63" s="1" t="s">
        <v>11</v>
      </c>
      <c r="B63" s="1" t="s">
        <v>38</v>
      </c>
      <c r="C63" s="1">
        <v>32</v>
      </c>
      <c r="D63"/>
    </row>
    <row r="64" spans="1:4" x14ac:dyDescent="0.35">
      <c r="A64" s="1" t="s">
        <v>11</v>
      </c>
      <c r="B64" s="1" t="s">
        <v>4</v>
      </c>
      <c r="C64" s="1">
        <v>67</v>
      </c>
      <c r="D64"/>
    </row>
    <row r="65" spans="1:4" x14ac:dyDescent="0.35">
      <c r="A65" s="1" t="s">
        <v>11</v>
      </c>
      <c r="B65" s="1" t="s">
        <v>8</v>
      </c>
      <c r="C65" s="1">
        <v>72</v>
      </c>
      <c r="D65"/>
    </row>
    <row r="66" spans="1:4" x14ac:dyDescent="0.35">
      <c r="A66" s="1" t="s">
        <v>11</v>
      </c>
      <c r="B66" s="1" t="s">
        <v>29</v>
      </c>
      <c r="C66" s="1">
        <v>55</v>
      </c>
      <c r="D66"/>
    </row>
    <row r="67" spans="1:4" hidden="1" x14ac:dyDescent="0.35">
      <c r="A67" s="1" t="s">
        <v>11</v>
      </c>
      <c r="B67" s="1" t="s">
        <v>2</v>
      </c>
      <c r="C67" s="1">
        <v>65</v>
      </c>
      <c r="D67"/>
    </row>
    <row r="68" spans="1:4" x14ac:dyDescent="0.35">
      <c r="A68" s="1" t="s">
        <v>11</v>
      </c>
      <c r="B68" s="1" t="s">
        <v>7</v>
      </c>
      <c r="C68" s="1">
        <v>87</v>
      </c>
      <c r="D68"/>
    </row>
    <row r="69" spans="1:4" x14ac:dyDescent="0.35">
      <c r="A69" s="1" t="s">
        <v>11</v>
      </c>
      <c r="B69" s="1" t="s">
        <v>0</v>
      </c>
      <c r="C69" s="1">
        <v>89</v>
      </c>
      <c r="D69"/>
    </row>
    <row r="70" spans="1:4" x14ac:dyDescent="0.35">
      <c r="A70" s="1" t="s">
        <v>11</v>
      </c>
      <c r="B70" s="1" t="s">
        <v>30</v>
      </c>
      <c r="C70" s="1">
        <v>65</v>
      </c>
      <c r="D70"/>
    </row>
    <row r="71" spans="1:4" x14ac:dyDescent="0.35">
      <c r="A71" s="1" t="s">
        <v>11</v>
      </c>
      <c r="B71" s="1" t="s">
        <v>5</v>
      </c>
      <c r="C71" s="1">
        <v>89</v>
      </c>
      <c r="D71"/>
    </row>
    <row r="72" spans="1:4" x14ac:dyDescent="0.35">
      <c r="A72" s="1" t="s">
        <v>11</v>
      </c>
      <c r="B72" s="1" t="s">
        <v>6</v>
      </c>
      <c r="C72" s="1">
        <v>24</v>
      </c>
      <c r="D72"/>
    </row>
    <row r="73" spans="1:4" x14ac:dyDescent="0.35">
      <c r="A73" s="1" t="s">
        <v>11</v>
      </c>
      <c r="B73" s="1" t="s">
        <v>9</v>
      </c>
      <c r="C73" s="1">
        <v>83</v>
      </c>
      <c r="D73"/>
    </row>
    <row r="74" spans="1:4" hidden="1" x14ac:dyDescent="0.35">
      <c r="A74" s="1" t="s">
        <v>11</v>
      </c>
      <c r="B74" s="1" t="s">
        <v>3</v>
      </c>
      <c r="C74" s="1">
        <v>45</v>
      </c>
      <c r="D74"/>
    </row>
    <row r="75" spans="1:4" x14ac:dyDescent="0.35">
      <c r="A75" s="1" t="s">
        <v>11</v>
      </c>
      <c r="B75" s="1" t="s">
        <v>31</v>
      </c>
      <c r="C75" s="1">
        <v>32</v>
      </c>
      <c r="D75"/>
    </row>
  </sheetData>
  <pageMargins left="0.7" right="0.7" top="0.75" bottom="0.75" header="0.3" footer="0.3"/>
  <pageSetup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B56AA54391DBD4FA915A61EB4CD85F5" ma:contentTypeVersion="10" ma:contentTypeDescription="Create a new document." ma:contentTypeScope="" ma:versionID="6da5975b8ff401a0d5bcbde6e13d3e18">
  <xsd:schema xmlns:xsd="http://www.w3.org/2001/XMLSchema" xmlns:xs="http://www.w3.org/2001/XMLSchema" xmlns:p="http://schemas.microsoft.com/office/2006/metadata/properties" xmlns:ns2="0f3a39ba-5f65-44c3-864e-d3035d8378c1" targetNamespace="http://schemas.microsoft.com/office/2006/metadata/properties" ma:root="true" ma:fieldsID="a6b840a22651998876d14e5b105cd02d" ns2:_="">
    <xsd:import namespace="0f3a39ba-5f65-44c3-864e-d3035d8378c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3a39ba-5f65-44c3-864e-d3035d8378c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4.xml>��
</file>

<file path=customXml/itemProps1.xml><?xml version="1.0" encoding="utf-8"?>
<ds:datastoreItem xmlns:ds="http://schemas.openxmlformats.org/officeDocument/2006/customXml" ds:itemID="{87C06F99-AA0F-4EC5-B5F3-ED1379848F5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f3a39ba-5f65-44c3-864e-d3035d8378c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276AF5C-020D-484A-BD3D-303CAB2A8CA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69768218-0030-4C20-8793-486D584C212B}">
  <ds:schemaRefs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0f3a39ba-5f65-44c3-864e-d3035d8378c1"/>
    <ds:schemaRef ds:uri="http://purl.org/dc/dcmitype/"/>
    <ds:schemaRef ds:uri="http://schemas.microsoft.com/office/2006/metadata/properties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B8558A18-70DF-4D19-96FE-4D15ED25BD9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7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10" baseType="lpstr">
      <vt:lpstr>PivotTable</vt:lpstr>
      <vt:lpstr>Transactions</vt:lpstr>
      <vt:lpstr>TransactionData</vt:lpstr>
      <vt:lpstr>CardFees</vt:lpstr>
      <vt:lpstr>Lookup_Data</vt:lpstr>
      <vt:lpstr>Filtered</vt:lpstr>
      <vt:lpstr>SunburstData</vt:lpstr>
      <vt:lpstr>SunburstChart</vt:lpstr>
      <vt:lpstr>Cities</vt:lpstr>
      <vt:lpstr>TaxRates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Transactions Data</dc:title>
  <dc:subject/>
  <dc:creator/>
  <dc:description>First week of September</dc:description>
  <cp:lastModifiedBy/>
  <dcterms:created xsi:type="dcterms:W3CDTF">2021-10-16T22:50:09Z</dcterms:created>
  <dcterms:modified xsi:type="dcterms:W3CDTF">2026-03-17T00:30:36Z</dcterms:modified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0x010100BB56AA54391DBD4FA915A61EB4CD85F5</vt:lpwstr>
  </property>
  <property fmtid="{D5CDD505-2E9C-101B-9397-08002B2CF9AE}" pid="3" name="ms_schema_validation">
    <vt:lpwstr>[]</vt:lpwstr>
  </property>
</Properties>
</file>